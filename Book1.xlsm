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ser\Documents\deepanshiExcel\"/>
    </mc:Choice>
  </mc:AlternateContent>
  <bookViews>
    <workbookView xWindow="0" yWindow="0" windowWidth="20490" windowHeight="7095" firstSheet="2" activeTab="9"/>
  </bookViews>
  <sheets>
    <sheet name="Sheet1" sheetId="1" r:id="rId1"/>
    <sheet name="Sheet2" sheetId="2" r:id="rId2"/>
    <sheet name="Dep-DashBoard" sheetId="3" r:id="rId3"/>
    <sheet name="Sheet4" sheetId="4" r:id="rId4"/>
    <sheet name="Sheet5" sheetId="5" r:id="rId5"/>
    <sheet name="Sheet6" sheetId="6" r:id="rId6"/>
    <sheet name="Sheet7" sheetId="7" r:id="rId7"/>
    <sheet name="Sheet8" sheetId="8" r:id="rId8"/>
    <sheet name="Sheet9" sheetId="9" r:id="rId9"/>
    <sheet name="TextFunction" sheetId="10" r:id="rId10"/>
  </sheets>
  <definedNames>
    <definedName name="Slicer_colors">#N/A</definedName>
  </definedNames>
  <calcPr calcId="162913"/>
  <pivotCaches>
    <pivotCache cacheId="0" r:id="rId11"/>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2" i="10" l="1"/>
  <c r="C42" i="10"/>
  <c r="C41" i="10"/>
  <c r="D41" i="10"/>
  <c r="D33" i="10"/>
  <c r="D32" i="10"/>
  <c r="D31" i="10"/>
  <c r="D30" i="10"/>
  <c r="D28" i="10"/>
  <c r="D27" i="10"/>
  <c r="D25" i="10"/>
  <c r="D23" i="10"/>
  <c r="D22" i="10"/>
  <c r="D21" i="10"/>
  <c r="D20" i="10"/>
  <c r="D19" i="10"/>
  <c r="D18" i="10"/>
  <c r="D17" i="10"/>
  <c r="D16" i="10"/>
  <c r="D15" i="10"/>
  <c r="D13" i="10"/>
  <c r="D12" i="10"/>
  <c r="D11" i="10"/>
  <c r="D10" i="10"/>
  <c r="C17" i="1" l="1"/>
  <c r="B15" i="1"/>
  <c r="G4" i="5"/>
  <c r="G5" i="5"/>
  <c r="G6" i="5"/>
  <c r="G7" i="5"/>
  <c r="G3" i="5"/>
  <c r="F4" i="8"/>
  <c r="F5" i="8"/>
  <c r="F6" i="8"/>
  <c r="F7" i="8"/>
  <c r="F3" i="8"/>
  <c r="E4" i="8"/>
  <c r="E5" i="8"/>
  <c r="E6" i="8"/>
  <c r="E7" i="8"/>
  <c r="E3" i="8"/>
  <c r="F4" i="7"/>
  <c r="F5" i="7"/>
  <c r="F6" i="7"/>
  <c r="F7" i="7"/>
  <c r="F3" i="7"/>
  <c r="E4" i="7"/>
  <c r="E5" i="7"/>
  <c r="E6" i="7"/>
  <c r="E7" i="7"/>
  <c r="E3" i="7"/>
  <c r="F4" i="6"/>
  <c r="F5" i="6"/>
  <c r="F6" i="6"/>
  <c r="F7" i="6"/>
  <c r="F3" i="6"/>
  <c r="E4" i="6"/>
  <c r="E5" i="6"/>
  <c r="E6" i="6"/>
  <c r="E7" i="6"/>
  <c r="E3" i="6"/>
  <c r="F4" i="5"/>
  <c r="F5" i="5"/>
  <c r="F6" i="5"/>
  <c r="F7" i="5"/>
  <c r="F3" i="5"/>
  <c r="E4" i="5"/>
  <c r="E5" i="5"/>
  <c r="E6" i="5"/>
  <c r="E7" i="5"/>
  <c r="E3" i="5"/>
</calcChain>
</file>

<file path=xl/sharedStrings.xml><?xml version="1.0" encoding="utf-8"?>
<sst xmlns="http://schemas.openxmlformats.org/spreadsheetml/2006/main" count="231" uniqueCount="92">
  <si>
    <t>name</t>
  </si>
  <si>
    <t>salary</t>
  </si>
  <si>
    <t>e-101</t>
  </si>
  <si>
    <t>e-102</t>
  </si>
  <si>
    <t>e-103</t>
  </si>
  <si>
    <t>e-104</t>
  </si>
  <si>
    <t>e-105</t>
  </si>
  <si>
    <t>e-106</t>
  </si>
  <si>
    <t>e-107</t>
  </si>
  <si>
    <t>e-108</t>
  </si>
  <si>
    <t>e-109</t>
  </si>
  <si>
    <t>e-110</t>
  </si>
  <si>
    <t>e-111</t>
  </si>
  <si>
    <t>location</t>
  </si>
  <si>
    <t>delhi</t>
  </si>
  <si>
    <t>noida</t>
  </si>
  <si>
    <t>gurugram</t>
  </si>
  <si>
    <t>dep.</t>
  </si>
  <si>
    <t>loc.</t>
  </si>
  <si>
    <t>sal.</t>
  </si>
  <si>
    <t>e-112</t>
  </si>
  <si>
    <t>e-113</t>
  </si>
  <si>
    <t>e-114</t>
  </si>
  <si>
    <t>Testing</t>
  </si>
  <si>
    <t>devlop</t>
  </si>
  <si>
    <t>Row Labels</t>
  </si>
  <si>
    <t>Grand Total</t>
  </si>
  <si>
    <t>Hr</t>
  </si>
  <si>
    <t>Sum of sal.</t>
  </si>
  <si>
    <t>date</t>
  </si>
  <si>
    <t>colors</t>
  </si>
  <si>
    <t>red</t>
  </si>
  <si>
    <t>green</t>
  </si>
  <si>
    <t>silver</t>
  </si>
  <si>
    <t>value</t>
  </si>
  <si>
    <t>2017</t>
  </si>
  <si>
    <t>2018</t>
  </si>
  <si>
    <t>2019</t>
  </si>
  <si>
    <t>colors Total sale</t>
  </si>
  <si>
    <t>Years</t>
  </si>
  <si>
    <t>Color Name</t>
  </si>
  <si>
    <t>hindi</t>
  </si>
  <si>
    <t>math</t>
  </si>
  <si>
    <t>english</t>
  </si>
  <si>
    <t>a</t>
  </si>
  <si>
    <t>b</t>
  </si>
  <si>
    <t>c</t>
  </si>
  <si>
    <t>d</t>
  </si>
  <si>
    <t>e</t>
  </si>
  <si>
    <t>Student Marksheet</t>
  </si>
  <si>
    <t>Total</t>
  </si>
  <si>
    <t>Status</t>
  </si>
  <si>
    <t>empName</t>
  </si>
  <si>
    <t>jan</t>
  </si>
  <si>
    <t>feb</t>
  </si>
  <si>
    <t>mar</t>
  </si>
  <si>
    <t>More Details</t>
  </si>
  <si>
    <t>Gurugram</t>
  </si>
  <si>
    <t>Noida</t>
  </si>
  <si>
    <t>Delhi</t>
  </si>
  <si>
    <t>string</t>
  </si>
  <si>
    <t>combination of char</t>
  </si>
  <si>
    <t xml:space="preserve">deepanshi </t>
  </si>
  <si>
    <t>deepanshi 404</t>
  </si>
  <si>
    <t>Name</t>
  </si>
  <si>
    <t>deepanshi sekhawat</t>
  </si>
  <si>
    <t>Function Name</t>
  </si>
  <si>
    <t xml:space="preserve">Function </t>
  </si>
  <si>
    <t>len</t>
  </si>
  <si>
    <t xml:space="preserve">      deepanshi          sekhawat</t>
  </si>
  <si>
    <t>Trim</t>
  </si>
  <si>
    <t>Len and trim</t>
  </si>
  <si>
    <t>len after trim</t>
  </si>
  <si>
    <t>without trim lenth</t>
  </si>
  <si>
    <t>Proper</t>
  </si>
  <si>
    <t>with space proper</t>
  </si>
  <si>
    <t>proper with trim</t>
  </si>
  <si>
    <t>upper</t>
  </si>
  <si>
    <t>lower</t>
  </si>
  <si>
    <t>left</t>
  </si>
  <si>
    <t>right</t>
  </si>
  <si>
    <t>mid</t>
  </si>
  <si>
    <t>find</t>
  </si>
  <si>
    <t>replace</t>
  </si>
  <si>
    <t>rept</t>
  </si>
  <si>
    <t>CONCATENATE</t>
  </si>
  <si>
    <t>&amp; operator</t>
  </si>
  <si>
    <t>First Name</t>
  </si>
  <si>
    <t>Last Name</t>
  </si>
  <si>
    <t>deepanshi</t>
  </si>
  <si>
    <t>sekhawat</t>
  </si>
  <si>
    <t>ram kumar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</si>
</sst>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1"/>
      <name val="Calibri"/>
      <family val="2"/>
      <scheme val="minor"/>
    </font>
    <font>
      <b/>
      <sz val="11"/>
      <color rgb="FFFF0000"/>
      <name val="Calibri"/>
      <family val="2"/>
      <scheme val="minor"/>
    </font>
    <font>
      <u/>
      <sz val="11"/>
      <color theme="1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4">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1" fillId="0" borderId="1" xfId="0" applyFont="1" applyBorder="1" applyAlignment="1">
      <alignment horizontal="left"/>
    </xf>
    <xf numFmtId="0" fontId="1" fillId="0" borderId="1" xfId="0" applyNumberFormat="1" applyFont="1" applyBorder="1"/>
    <xf numFmtId="0" fontId="1" fillId="0" borderId="1" xfId="0" applyFont="1" applyBorder="1" applyAlignment="1">
      <alignment horizontal="left" indent="1"/>
    </xf>
    <xf numFmtId="0" fontId="0" fillId="0" borderId="1" xfId="0" applyBorder="1" applyAlignment="1">
      <alignment horizontal="left" indent="2"/>
    </xf>
    <xf numFmtId="0" fontId="0" fillId="0" borderId="1" xfId="0" applyNumberFormat="1" applyBorder="1"/>
    <xf numFmtId="14" fontId="0" fillId="0" borderId="0" xfId="0" applyNumberFormat="1"/>
    <xf numFmtId="0" fontId="1" fillId="0" borderId="0" xfId="0" applyFont="1"/>
    <xf numFmtId="0" fontId="3" fillId="0" borderId="0" xfId="1"/>
    <xf numFmtId="0" fontId="2" fillId="2" borderId="0" xfId="0" applyFont="1" applyFill="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Sheet2!$G$3</c:f>
              <c:strCache>
                <c:ptCount val="1"/>
                <c:pt idx="0">
                  <c:v>Total</c:v>
                </c:pt>
              </c:strCache>
            </c:strRef>
          </c:tx>
          <c:spPr>
            <a:solidFill>
              <a:schemeClr val="accent1"/>
            </a:solidFill>
            <a:ln>
              <a:noFill/>
            </a:ln>
            <a:effectLst/>
          </c:spPr>
          <c:invertIfNegative val="0"/>
          <c:cat>
            <c:multiLvlStrRef>
              <c:f>Sheet2!$F$4:$F$21</c:f>
              <c:multiLvlStrCache>
                <c:ptCount val="14"/>
                <c:lvl>
                  <c:pt idx="0">
                    <c:v>e-105</c:v>
                  </c:pt>
                  <c:pt idx="1">
                    <c:v>e-102</c:v>
                  </c:pt>
                  <c:pt idx="2">
                    <c:v>e-114</c:v>
                  </c:pt>
                  <c:pt idx="3">
                    <c:v>e-108</c:v>
                  </c:pt>
                  <c:pt idx="4">
                    <c:v>e-111</c:v>
                  </c:pt>
                  <c:pt idx="5">
                    <c:v>e-109</c:v>
                  </c:pt>
                  <c:pt idx="6">
                    <c:v>e-106</c:v>
                  </c:pt>
                  <c:pt idx="7">
                    <c:v>e-103</c:v>
                  </c:pt>
                  <c:pt idx="8">
                    <c:v>e-112</c:v>
                  </c:pt>
                  <c:pt idx="9">
                    <c:v>e-101</c:v>
                  </c:pt>
                  <c:pt idx="10">
                    <c:v>e-104</c:v>
                  </c:pt>
                  <c:pt idx="11">
                    <c:v>e-107</c:v>
                  </c:pt>
                  <c:pt idx="12">
                    <c:v>e-110</c:v>
                  </c:pt>
                  <c:pt idx="13">
                    <c:v>e-113</c:v>
                  </c:pt>
                </c:lvl>
                <c:lvl>
                  <c:pt idx="0">
                    <c:v>delhi</c:v>
                  </c:pt>
                  <c:pt idx="5">
                    <c:v>gurugram</c:v>
                  </c:pt>
                  <c:pt idx="9">
                    <c:v>noida</c:v>
                  </c:pt>
                </c:lvl>
              </c:multiLvlStrCache>
            </c:multiLvlStrRef>
          </c:cat>
          <c:val>
            <c:numRef>
              <c:f>Sheet2!$G$4:$G$21</c:f>
              <c:numCache>
                <c:formatCode>General</c:formatCode>
                <c:ptCount val="14"/>
                <c:pt idx="0">
                  <c:v>145577</c:v>
                </c:pt>
                <c:pt idx="1">
                  <c:v>140958</c:v>
                </c:pt>
                <c:pt idx="2">
                  <c:v>120535</c:v>
                </c:pt>
                <c:pt idx="3">
                  <c:v>64157</c:v>
                </c:pt>
                <c:pt idx="4">
                  <c:v>16122</c:v>
                </c:pt>
                <c:pt idx="5">
                  <c:v>189617</c:v>
                </c:pt>
                <c:pt idx="6">
                  <c:v>160050</c:v>
                </c:pt>
                <c:pt idx="7">
                  <c:v>49889</c:v>
                </c:pt>
                <c:pt idx="8">
                  <c:v>31620</c:v>
                </c:pt>
                <c:pt idx="9">
                  <c:v>123323</c:v>
                </c:pt>
                <c:pt idx="10">
                  <c:v>78864</c:v>
                </c:pt>
                <c:pt idx="11">
                  <c:v>77796</c:v>
                </c:pt>
                <c:pt idx="12">
                  <c:v>20855</c:v>
                </c:pt>
                <c:pt idx="13">
                  <c:v>8714</c:v>
                </c:pt>
              </c:numCache>
            </c:numRef>
          </c:val>
          <c:extLst>
            <c:ext xmlns:c16="http://schemas.microsoft.com/office/drawing/2014/chart" uri="{C3380CC4-5D6E-409C-BE32-E72D297353CC}">
              <c16:uniqueId val="{00000000-0758-4E4B-8035-03A5EFDCD88F}"/>
            </c:ext>
          </c:extLst>
        </c:ser>
        <c:dLbls>
          <c:showLegendKey val="0"/>
          <c:showVal val="0"/>
          <c:showCatName val="0"/>
          <c:showSerName val="0"/>
          <c:showPercent val="0"/>
          <c:showBubbleSize val="0"/>
        </c:dLbls>
        <c:gapWidth val="219"/>
        <c:overlap val="-27"/>
        <c:axId val="427521368"/>
        <c:axId val="427523008"/>
      </c:barChart>
      <c:catAx>
        <c:axId val="427521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3008"/>
        <c:crosses val="autoZero"/>
        <c:auto val="1"/>
        <c:lblAlgn val="ctr"/>
        <c:lblOffset val="100"/>
        <c:noMultiLvlLbl val="0"/>
      </c:catAx>
      <c:valAx>
        <c:axId val="427523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13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[Book1.xlsm]Sheet2!PivotTable2</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Sheet2!$G$3</c:f>
              <c:strCache>
                <c:ptCount val="1"/>
                <c:pt idx="0">
                  <c:v>Total</c:v>
                </c:pt>
              </c:strCache>
            </c:strRef>
          </c:tx>
          <c:spPr>
            <a:solidFill>
              <a:schemeClr val="accent1"/>
            </a:solidFill>
            <a:ln>
              <a:noFill/>
            </a:ln>
            <a:effectLst/>
          </c:spPr>
          <c:invertIfNegative val="0"/>
          <c:cat>
            <c:multiLvlStrRef>
              <c:f>Sheet2!$F$4:$F$21</c:f>
              <c:multiLvlStrCache>
                <c:ptCount val="14"/>
                <c:lvl>
                  <c:pt idx="0">
                    <c:v>e-105</c:v>
                  </c:pt>
                  <c:pt idx="1">
                    <c:v>e-102</c:v>
                  </c:pt>
                  <c:pt idx="2">
                    <c:v>e-114</c:v>
                  </c:pt>
                  <c:pt idx="3">
                    <c:v>e-108</c:v>
                  </c:pt>
                  <c:pt idx="4">
                    <c:v>e-111</c:v>
                  </c:pt>
                  <c:pt idx="5">
                    <c:v>e-109</c:v>
                  </c:pt>
                  <c:pt idx="6">
                    <c:v>e-106</c:v>
                  </c:pt>
                  <c:pt idx="7">
                    <c:v>e-103</c:v>
                  </c:pt>
                  <c:pt idx="8">
                    <c:v>e-112</c:v>
                  </c:pt>
                  <c:pt idx="9">
                    <c:v>e-101</c:v>
                  </c:pt>
                  <c:pt idx="10">
                    <c:v>e-104</c:v>
                  </c:pt>
                  <c:pt idx="11">
                    <c:v>e-107</c:v>
                  </c:pt>
                  <c:pt idx="12">
                    <c:v>e-110</c:v>
                  </c:pt>
                  <c:pt idx="13">
                    <c:v>e-113</c:v>
                  </c:pt>
                </c:lvl>
                <c:lvl>
                  <c:pt idx="0">
                    <c:v>delhi</c:v>
                  </c:pt>
                  <c:pt idx="5">
                    <c:v>gurugram</c:v>
                  </c:pt>
                  <c:pt idx="9">
                    <c:v>noida</c:v>
                  </c:pt>
                </c:lvl>
              </c:multiLvlStrCache>
            </c:multiLvlStrRef>
          </c:cat>
          <c:val>
            <c:numRef>
              <c:f>Sheet2!$G$4:$G$21</c:f>
              <c:numCache>
                <c:formatCode>General</c:formatCode>
                <c:ptCount val="14"/>
                <c:pt idx="0">
                  <c:v>145577</c:v>
                </c:pt>
                <c:pt idx="1">
                  <c:v>140958</c:v>
                </c:pt>
                <c:pt idx="2">
                  <c:v>120535</c:v>
                </c:pt>
                <c:pt idx="3">
                  <c:v>64157</c:v>
                </c:pt>
                <c:pt idx="4">
                  <c:v>16122</c:v>
                </c:pt>
                <c:pt idx="5">
                  <c:v>189617</c:v>
                </c:pt>
                <c:pt idx="6">
                  <c:v>160050</c:v>
                </c:pt>
                <c:pt idx="7">
                  <c:v>49889</c:v>
                </c:pt>
                <c:pt idx="8">
                  <c:v>31620</c:v>
                </c:pt>
                <c:pt idx="9">
                  <c:v>123323</c:v>
                </c:pt>
                <c:pt idx="10">
                  <c:v>78864</c:v>
                </c:pt>
                <c:pt idx="11">
                  <c:v>77796</c:v>
                </c:pt>
                <c:pt idx="12">
                  <c:v>20855</c:v>
                </c:pt>
                <c:pt idx="13">
                  <c:v>8714</c:v>
                </c:pt>
              </c:numCache>
            </c:numRef>
          </c:val>
          <c:extLst>
            <c:ext xmlns:c16="http://schemas.microsoft.com/office/drawing/2014/chart" uri="{C3380CC4-5D6E-409C-BE32-E72D297353CC}">
              <c16:uniqueId val="{00000000-0A64-46AB-954A-1B86C5BA3FDE}"/>
            </c:ext>
          </c:extLst>
        </c:ser>
        <c:dLbls>
          <c:showLegendKey val="0"/>
          <c:showVal val="0"/>
          <c:showCatName val="0"/>
          <c:showSerName val="0"/>
          <c:showPercent val="0"/>
          <c:showBubbleSize val="0"/>
        </c:dLbls>
        <c:gapWidth val="219"/>
        <c:overlap val="-27"/>
        <c:axId val="427521368"/>
        <c:axId val="427523008"/>
      </c:barChart>
      <c:catAx>
        <c:axId val="427521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3008"/>
        <c:crosses val="autoZero"/>
        <c:auto val="1"/>
        <c:lblAlgn val="ctr"/>
        <c:lblOffset val="100"/>
        <c:noMultiLvlLbl val="0"/>
      </c:catAx>
      <c:valAx>
        <c:axId val="427523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213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iagram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7F6A15-685F-48A2-B331-56696047307D}" type="doc">
      <dgm:prSet loTypeId="urn:microsoft.com/office/officeart/2005/8/layout/pList1" loCatId="list" qsTypeId="urn:microsoft.com/office/officeart/2005/8/quickstyle/simple1" qsCatId="simple" csTypeId="urn:microsoft.com/office/officeart/2005/8/colors/accent1_2" csCatId="accent1" phldr="1"/>
      <dgm:spPr/>
      <dgm:t>
        <a:bodyPr/>
        <a:lstStyle/>
        <a:p>
          <a:endParaRPr lang="en-US"/>
        </a:p>
      </dgm:t>
    </dgm:pt>
    <dgm:pt modelId="{1C017ED2-5FEF-4A09-8755-8DDD6AA6249E}">
      <dgm:prSet phldrT="[Text]"/>
      <dgm:spPr/>
      <dgm:t>
        <a:bodyPr/>
        <a:lstStyle/>
        <a:p>
          <a:r>
            <a:rPr lang="en-US"/>
            <a:t>Deepanshi</a:t>
          </a:r>
        </a:p>
      </dgm:t>
    </dgm:pt>
    <dgm:pt modelId="{F3388E5B-6486-4DBE-BAFC-8A00A3C0762B}" type="parTrans" cxnId="{36189F47-CDF9-4C77-9854-DDDFB1D7BB77}">
      <dgm:prSet/>
      <dgm:spPr/>
      <dgm:t>
        <a:bodyPr/>
        <a:lstStyle/>
        <a:p>
          <a:endParaRPr lang="en-US"/>
        </a:p>
      </dgm:t>
    </dgm:pt>
    <dgm:pt modelId="{C09EC9E4-7039-4178-966C-CC264F6D5771}" type="sibTrans" cxnId="{36189F47-CDF9-4C77-9854-DDDFB1D7BB77}">
      <dgm:prSet/>
      <dgm:spPr/>
      <dgm:t>
        <a:bodyPr/>
        <a:lstStyle/>
        <a:p>
          <a:endParaRPr lang="en-US"/>
        </a:p>
      </dgm:t>
    </dgm:pt>
    <dgm:pt modelId="{FAF33F72-6A19-4BE3-BA42-405B3DC01E05}">
      <dgm:prSet phldrT="[Text]"/>
      <dgm:spPr/>
      <dgm:t>
        <a:bodyPr/>
        <a:lstStyle/>
        <a:p>
          <a:r>
            <a:rPr lang="en-US"/>
            <a:t>TechVision</a:t>
          </a:r>
        </a:p>
      </dgm:t>
    </dgm:pt>
    <dgm:pt modelId="{98561C4A-5319-4436-A8AE-2109957019E7}" type="parTrans" cxnId="{A05619E1-85F3-42E5-893C-C3305F411B26}">
      <dgm:prSet/>
      <dgm:spPr/>
      <dgm:t>
        <a:bodyPr/>
        <a:lstStyle/>
        <a:p>
          <a:endParaRPr lang="en-US"/>
        </a:p>
      </dgm:t>
    </dgm:pt>
    <dgm:pt modelId="{A22111CC-49FC-4950-8CA9-281738A85757}" type="sibTrans" cxnId="{A05619E1-85F3-42E5-893C-C3305F411B26}">
      <dgm:prSet/>
      <dgm:spPr/>
      <dgm:t>
        <a:bodyPr/>
        <a:lstStyle/>
        <a:p>
          <a:endParaRPr lang="en-US"/>
        </a:p>
      </dgm:t>
    </dgm:pt>
    <dgm:pt modelId="{CED23D5A-BD12-41D4-B60F-EA50B6320347}">
      <dgm:prSet phldrT="[Text]" phldr="1"/>
      <dgm:spPr/>
      <dgm:t>
        <a:bodyPr/>
        <a:lstStyle/>
        <a:p>
          <a:endParaRPr lang="en-US"/>
        </a:p>
      </dgm:t>
    </dgm:pt>
    <dgm:pt modelId="{CAFE2A31-96E8-4178-8CBD-A018C24F6175}" type="parTrans" cxnId="{DA2ECBFF-8645-4B3A-8230-7B5C50F3FFEF}">
      <dgm:prSet/>
      <dgm:spPr/>
      <dgm:t>
        <a:bodyPr/>
        <a:lstStyle/>
        <a:p>
          <a:endParaRPr lang="en-US"/>
        </a:p>
      </dgm:t>
    </dgm:pt>
    <dgm:pt modelId="{1FA7BE4D-827B-4A1E-BC47-3DF363342515}" type="sibTrans" cxnId="{DA2ECBFF-8645-4B3A-8230-7B5C50F3FFEF}">
      <dgm:prSet/>
      <dgm:spPr/>
      <dgm:t>
        <a:bodyPr/>
        <a:lstStyle/>
        <a:p>
          <a:endParaRPr lang="en-US"/>
        </a:p>
      </dgm:t>
    </dgm:pt>
    <dgm:pt modelId="{46EA9741-E461-497C-B2BC-64B05BEF8A52}">
      <dgm:prSet phldrT="[Text]" phldr="1"/>
      <dgm:spPr/>
      <dgm:t>
        <a:bodyPr/>
        <a:lstStyle/>
        <a:p>
          <a:endParaRPr lang="en-US"/>
        </a:p>
      </dgm:t>
    </dgm:pt>
    <dgm:pt modelId="{D757950B-17D0-4288-ACDA-7DC30B3B940E}" type="parTrans" cxnId="{9191A8D6-31AD-4799-B188-A803CF7C75C8}">
      <dgm:prSet/>
      <dgm:spPr/>
      <dgm:t>
        <a:bodyPr/>
        <a:lstStyle/>
        <a:p>
          <a:endParaRPr lang="en-US"/>
        </a:p>
      </dgm:t>
    </dgm:pt>
    <dgm:pt modelId="{165A8B7C-6C6C-4FDA-8D98-6D6376703C7B}" type="sibTrans" cxnId="{9191A8D6-31AD-4799-B188-A803CF7C75C8}">
      <dgm:prSet/>
      <dgm:spPr/>
      <dgm:t>
        <a:bodyPr/>
        <a:lstStyle/>
        <a:p>
          <a:endParaRPr lang="en-US"/>
        </a:p>
      </dgm:t>
    </dgm:pt>
    <dgm:pt modelId="{53582C6D-BAD6-452B-A9D3-581B05C6CBFC}" type="pres">
      <dgm:prSet presAssocID="{9A7F6A15-685F-48A2-B331-56696047307D}" presName="Name0" presStyleCnt="0">
        <dgm:presLayoutVars>
          <dgm:dir/>
          <dgm:resizeHandles val="exact"/>
        </dgm:presLayoutVars>
      </dgm:prSet>
      <dgm:spPr/>
      <dgm:t>
        <a:bodyPr/>
        <a:lstStyle/>
        <a:p>
          <a:endParaRPr lang="en-US"/>
        </a:p>
      </dgm:t>
    </dgm:pt>
    <dgm:pt modelId="{37F8F08D-8EFB-4C56-BD41-D699235119DD}" type="pres">
      <dgm:prSet presAssocID="{1C017ED2-5FEF-4A09-8755-8DDD6AA6249E}" presName="compNode" presStyleCnt="0"/>
      <dgm:spPr/>
    </dgm:pt>
    <dgm:pt modelId="{B8CCA985-CFC3-45B6-BA09-27F153AF026E}" type="pres">
      <dgm:prSet presAssocID="{1C017ED2-5FEF-4A09-8755-8DDD6AA6249E}" presName="pictRect" presStyleLbl="node1" presStyleIdx="0" presStyleCnt="4" custAng="10800000"/>
      <dgm:spPr>
        <a:blipFill>
          <a:blip xmlns:r="http://schemas.openxmlformats.org/officeDocument/2006/relationships" r:embed="rId1" cstate="print">
            <a:extLst>
              <a:ext uri="{28A0092B-C50C-407E-A947-70E740481C1C}">
                <a14:useLocalDpi xmlns:a14="http://schemas.microsoft.com/office/drawing/2010/main" val="0"/>
              </a:ext>
            </a:extLst>
          </a:blip>
          <a:srcRect/>
          <a:stretch>
            <a:fillRect t="-4000" b="-4000"/>
          </a:stretch>
        </a:blipFill>
      </dgm:spPr>
      <dgm:t>
        <a:bodyPr/>
        <a:lstStyle/>
        <a:p>
          <a:endParaRPr lang="en-US"/>
        </a:p>
      </dgm:t>
    </dgm:pt>
    <dgm:pt modelId="{90CC8461-EF56-43AA-9862-31FABA315134}" type="pres">
      <dgm:prSet presAssocID="{1C017ED2-5FEF-4A09-8755-8DDD6AA6249E}" presName="textRect" presStyleLbl="revTx" presStyleIdx="0" presStyleCnt="4">
        <dgm:presLayoutVars>
          <dgm:bulletEnabled val="1"/>
        </dgm:presLayoutVars>
      </dgm:prSet>
      <dgm:spPr/>
      <dgm:t>
        <a:bodyPr/>
        <a:lstStyle/>
        <a:p>
          <a:endParaRPr lang="en-US"/>
        </a:p>
      </dgm:t>
    </dgm:pt>
    <dgm:pt modelId="{A42EC184-08AF-4A03-9B45-6D0D854D6615}" type="pres">
      <dgm:prSet presAssocID="{C09EC9E4-7039-4178-966C-CC264F6D5771}" presName="sibTrans" presStyleLbl="sibTrans2D1" presStyleIdx="0" presStyleCnt="0"/>
      <dgm:spPr/>
      <dgm:t>
        <a:bodyPr/>
        <a:lstStyle/>
        <a:p>
          <a:endParaRPr lang="en-US"/>
        </a:p>
      </dgm:t>
    </dgm:pt>
    <dgm:pt modelId="{B0DDE6B5-6D02-4B1B-963A-05D7BA61CA93}" type="pres">
      <dgm:prSet presAssocID="{FAF33F72-6A19-4BE3-BA42-405B3DC01E05}" presName="compNode" presStyleCnt="0"/>
      <dgm:spPr/>
    </dgm:pt>
    <dgm:pt modelId="{E04740B6-60E4-4889-9592-375AAE89D36C}" type="pres">
      <dgm:prSet presAssocID="{FAF33F72-6A19-4BE3-BA42-405B3DC01E05}" presName="pictRect" presStyleLbl="node1" presStyleIdx="1" presStyleCnt="4"/>
      <dgm:spPr>
        <a:blipFill>
          <a:blip xmlns:r="http://schemas.openxmlformats.org/officeDocument/2006/relationships" r:embed="rId2" cstate="print">
            <a:extLst>
              <a:ext uri="{28A0092B-C50C-407E-A947-70E740481C1C}">
                <a14:useLocalDpi xmlns:a14="http://schemas.microsoft.com/office/drawing/2010/main" val="0"/>
              </a:ext>
            </a:extLst>
          </a:blip>
          <a:srcRect/>
          <a:stretch>
            <a:fillRect t="-4000" b="-4000"/>
          </a:stretch>
        </a:blipFill>
      </dgm:spPr>
      <dgm:t>
        <a:bodyPr/>
        <a:lstStyle/>
        <a:p>
          <a:endParaRPr lang="en-US"/>
        </a:p>
      </dgm:t>
    </dgm:pt>
    <dgm:pt modelId="{786BCECF-D493-4CCF-B382-F0F20F1DA322}" type="pres">
      <dgm:prSet presAssocID="{FAF33F72-6A19-4BE3-BA42-405B3DC01E05}" presName="textRect" presStyleLbl="revTx" presStyleIdx="1" presStyleCnt="4">
        <dgm:presLayoutVars>
          <dgm:bulletEnabled val="1"/>
        </dgm:presLayoutVars>
      </dgm:prSet>
      <dgm:spPr/>
      <dgm:t>
        <a:bodyPr/>
        <a:lstStyle/>
        <a:p>
          <a:endParaRPr lang="en-US"/>
        </a:p>
      </dgm:t>
    </dgm:pt>
    <dgm:pt modelId="{7A62DDCD-2808-4917-BB53-240B92DADB7F}" type="pres">
      <dgm:prSet presAssocID="{A22111CC-49FC-4950-8CA9-281738A85757}" presName="sibTrans" presStyleLbl="sibTrans2D1" presStyleIdx="0" presStyleCnt="0"/>
      <dgm:spPr/>
      <dgm:t>
        <a:bodyPr/>
        <a:lstStyle/>
        <a:p>
          <a:endParaRPr lang="en-US"/>
        </a:p>
      </dgm:t>
    </dgm:pt>
    <dgm:pt modelId="{493815DD-492D-4982-9BE4-407F9AB6052B}" type="pres">
      <dgm:prSet presAssocID="{CED23D5A-BD12-41D4-B60F-EA50B6320347}" presName="compNode" presStyleCnt="0"/>
      <dgm:spPr/>
    </dgm:pt>
    <dgm:pt modelId="{2E514D19-8A2C-416A-B82C-976D3B469CF9}" type="pres">
      <dgm:prSet presAssocID="{CED23D5A-BD12-41D4-B60F-EA50B6320347}" presName="pictRect" presStyleLbl="node1" presStyleIdx="2" presStyleCnt="4"/>
      <dgm:spPr/>
    </dgm:pt>
    <dgm:pt modelId="{2D0E5379-7676-4A4B-8E1A-F60EF643C50E}" type="pres">
      <dgm:prSet presAssocID="{CED23D5A-BD12-41D4-B60F-EA50B6320347}" presName="textRect" presStyleLbl="revTx" presStyleIdx="2" presStyleCnt="4">
        <dgm:presLayoutVars>
          <dgm:bulletEnabled val="1"/>
        </dgm:presLayoutVars>
      </dgm:prSet>
      <dgm:spPr/>
      <dgm:t>
        <a:bodyPr/>
        <a:lstStyle/>
        <a:p>
          <a:endParaRPr lang="en-US"/>
        </a:p>
      </dgm:t>
    </dgm:pt>
    <dgm:pt modelId="{C8CD82FA-61D8-45CB-8C45-A5411B199A3B}" type="pres">
      <dgm:prSet presAssocID="{1FA7BE4D-827B-4A1E-BC47-3DF363342515}" presName="sibTrans" presStyleLbl="sibTrans2D1" presStyleIdx="0" presStyleCnt="0"/>
      <dgm:spPr/>
      <dgm:t>
        <a:bodyPr/>
        <a:lstStyle/>
        <a:p>
          <a:endParaRPr lang="en-US"/>
        </a:p>
      </dgm:t>
    </dgm:pt>
    <dgm:pt modelId="{EC79592D-A23A-4AF9-8133-DEA4F86632F9}" type="pres">
      <dgm:prSet presAssocID="{46EA9741-E461-497C-B2BC-64B05BEF8A52}" presName="compNode" presStyleCnt="0"/>
      <dgm:spPr/>
    </dgm:pt>
    <dgm:pt modelId="{E50E48D6-A582-461A-9093-C90F2D4DB46F}" type="pres">
      <dgm:prSet presAssocID="{46EA9741-E461-497C-B2BC-64B05BEF8A52}" presName="pictRect" presStyleLbl="node1" presStyleIdx="3" presStyleCnt="4"/>
      <dgm:spPr/>
    </dgm:pt>
    <dgm:pt modelId="{F46E84D2-E2DD-4E2A-BC54-EFCCB2705A47}" type="pres">
      <dgm:prSet presAssocID="{46EA9741-E461-497C-B2BC-64B05BEF8A52}" presName="textRect" presStyleLbl="revTx" presStyleIdx="3" presStyleCnt="4">
        <dgm:presLayoutVars>
          <dgm:bulletEnabled val="1"/>
        </dgm:presLayoutVars>
      </dgm:prSet>
      <dgm:spPr/>
      <dgm:t>
        <a:bodyPr/>
        <a:lstStyle/>
        <a:p>
          <a:endParaRPr lang="en-US"/>
        </a:p>
      </dgm:t>
    </dgm:pt>
  </dgm:ptLst>
  <dgm:cxnLst>
    <dgm:cxn modelId="{181A241F-E17C-4946-8C7D-D90C34449CFD}" type="presOf" srcId="{CED23D5A-BD12-41D4-B60F-EA50B6320347}" destId="{2D0E5379-7676-4A4B-8E1A-F60EF643C50E}" srcOrd="0" destOrd="0" presId="urn:microsoft.com/office/officeart/2005/8/layout/pList1"/>
    <dgm:cxn modelId="{1127E338-647D-40C4-B6F6-8009E1A5F8D7}" type="presOf" srcId="{A22111CC-49FC-4950-8CA9-281738A85757}" destId="{7A62DDCD-2808-4917-BB53-240B92DADB7F}" srcOrd="0" destOrd="0" presId="urn:microsoft.com/office/officeart/2005/8/layout/pList1"/>
    <dgm:cxn modelId="{DA2ECBFF-8645-4B3A-8230-7B5C50F3FFEF}" srcId="{9A7F6A15-685F-48A2-B331-56696047307D}" destId="{CED23D5A-BD12-41D4-B60F-EA50B6320347}" srcOrd="2" destOrd="0" parTransId="{CAFE2A31-96E8-4178-8CBD-A018C24F6175}" sibTransId="{1FA7BE4D-827B-4A1E-BC47-3DF363342515}"/>
    <dgm:cxn modelId="{A05619E1-85F3-42E5-893C-C3305F411B26}" srcId="{9A7F6A15-685F-48A2-B331-56696047307D}" destId="{FAF33F72-6A19-4BE3-BA42-405B3DC01E05}" srcOrd="1" destOrd="0" parTransId="{98561C4A-5319-4436-A8AE-2109957019E7}" sibTransId="{A22111CC-49FC-4950-8CA9-281738A85757}"/>
    <dgm:cxn modelId="{9632B0A3-1847-4054-B36D-2AB47E97C380}" type="presOf" srcId="{9A7F6A15-685F-48A2-B331-56696047307D}" destId="{53582C6D-BAD6-452B-A9D3-581B05C6CBFC}" srcOrd="0" destOrd="0" presId="urn:microsoft.com/office/officeart/2005/8/layout/pList1"/>
    <dgm:cxn modelId="{36189F47-CDF9-4C77-9854-DDDFB1D7BB77}" srcId="{9A7F6A15-685F-48A2-B331-56696047307D}" destId="{1C017ED2-5FEF-4A09-8755-8DDD6AA6249E}" srcOrd="0" destOrd="0" parTransId="{F3388E5B-6486-4DBE-BAFC-8A00A3C0762B}" sibTransId="{C09EC9E4-7039-4178-966C-CC264F6D5771}"/>
    <dgm:cxn modelId="{7B5AEAFE-0640-43EC-AF87-1289B9D60999}" type="presOf" srcId="{1C017ED2-5FEF-4A09-8755-8DDD6AA6249E}" destId="{90CC8461-EF56-43AA-9862-31FABA315134}" srcOrd="0" destOrd="0" presId="urn:microsoft.com/office/officeart/2005/8/layout/pList1"/>
    <dgm:cxn modelId="{9191A8D6-31AD-4799-B188-A803CF7C75C8}" srcId="{9A7F6A15-685F-48A2-B331-56696047307D}" destId="{46EA9741-E461-497C-B2BC-64B05BEF8A52}" srcOrd="3" destOrd="0" parTransId="{D757950B-17D0-4288-ACDA-7DC30B3B940E}" sibTransId="{165A8B7C-6C6C-4FDA-8D98-6D6376703C7B}"/>
    <dgm:cxn modelId="{827B5EFC-1ED3-4F87-9C54-CAC319A0577E}" type="presOf" srcId="{46EA9741-E461-497C-B2BC-64B05BEF8A52}" destId="{F46E84D2-E2DD-4E2A-BC54-EFCCB2705A47}" srcOrd="0" destOrd="0" presId="urn:microsoft.com/office/officeart/2005/8/layout/pList1"/>
    <dgm:cxn modelId="{0AF28540-90F0-4282-89B4-CF2152A8EFCB}" type="presOf" srcId="{1FA7BE4D-827B-4A1E-BC47-3DF363342515}" destId="{C8CD82FA-61D8-45CB-8C45-A5411B199A3B}" srcOrd="0" destOrd="0" presId="urn:microsoft.com/office/officeart/2005/8/layout/pList1"/>
    <dgm:cxn modelId="{4E3ABC24-E07C-43DF-9E7B-24F905739CE3}" type="presOf" srcId="{FAF33F72-6A19-4BE3-BA42-405B3DC01E05}" destId="{786BCECF-D493-4CCF-B382-F0F20F1DA322}" srcOrd="0" destOrd="0" presId="urn:microsoft.com/office/officeart/2005/8/layout/pList1"/>
    <dgm:cxn modelId="{C20D8CE7-ED46-4181-A680-73A13D14F280}" type="presOf" srcId="{C09EC9E4-7039-4178-966C-CC264F6D5771}" destId="{A42EC184-08AF-4A03-9B45-6D0D854D6615}" srcOrd="0" destOrd="0" presId="urn:microsoft.com/office/officeart/2005/8/layout/pList1"/>
    <dgm:cxn modelId="{8544265C-5330-4264-9B9C-58192E3C4A61}" type="presParOf" srcId="{53582C6D-BAD6-452B-A9D3-581B05C6CBFC}" destId="{37F8F08D-8EFB-4C56-BD41-D699235119DD}" srcOrd="0" destOrd="0" presId="urn:microsoft.com/office/officeart/2005/8/layout/pList1"/>
    <dgm:cxn modelId="{AABB1767-515B-40A3-BC29-42E98FEC4A36}" type="presParOf" srcId="{37F8F08D-8EFB-4C56-BD41-D699235119DD}" destId="{B8CCA985-CFC3-45B6-BA09-27F153AF026E}" srcOrd="0" destOrd="0" presId="urn:microsoft.com/office/officeart/2005/8/layout/pList1"/>
    <dgm:cxn modelId="{0DF182F6-A0AE-4047-A9DC-4552734B60E2}" type="presParOf" srcId="{37F8F08D-8EFB-4C56-BD41-D699235119DD}" destId="{90CC8461-EF56-43AA-9862-31FABA315134}" srcOrd="1" destOrd="0" presId="urn:microsoft.com/office/officeart/2005/8/layout/pList1"/>
    <dgm:cxn modelId="{6F0FD6A4-C0B2-4C55-8B5A-8F747810DE5A}" type="presParOf" srcId="{53582C6D-BAD6-452B-A9D3-581B05C6CBFC}" destId="{A42EC184-08AF-4A03-9B45-6D0D854D6615}" srcOrd="1" destOrd="0" presId="urn:microsoft.com/office/officeart/2005/8/layout/pList1"/>
    <dgm:cxn modelId="{205F974D-4E39-49F5-9443-A5C11501A3F0}" type="presParOf" srcId="{53582C6D-BAD6-452B-A9D3-581B05C6CBFC}" destId="{B0DDE6B5-6D02-4B1B-963A-05D7BA61CA93}" srcOrd="2" destOrd="0" presId="urn:microsoft.com/office/officeart/2005/8/layout/pList1"/>
    <dgm:cxn modelId="{FDEE75E2-CAF2-45D0-BDC3-82178707B315}" type="presParOf" srcId="{B0DDE6B5-6D02-4B1B-963A-05D7BA61CA93}" destId="{E04740B6-60E4-4889-9592-375AAE89D36C}" srcOrd="0" destOrd="0" presId="urn:microsoft.com/office/officeart/2005/8/layout/pList1"/>
    <dgm:cxn modelId="{D5392228-5077-4405-A496-EE0E74A80CE0}" type="presParOf" srcId="{B0DDE6B5-6D02-4B1B-963A-05D7BA61CA93}" destId="{786BCECF-D493-4CCF-B382-F0F20F1DA322}" srcOrd="1" destOrd="0" presId="urn:microsoft.com/office/officeart/2005/8/layout/pList1"/>
    <dgm:cxn modelId="{7E3059F2-5BDC-4223-8074-FF34CAF574A6}" type="presParOf" srcId="{53582C6D-BAD6-452B-A9D3-581B05C6CBFC}" destId="{7A62DDCD-2808-4917-BB53-240B92DADB7F}" srcOrd="3" destOrd="0" presId="urn:microsoft.com/office/officeart/2005/8/layout/pList1"/>
    <dgm:cxn modelId="{C745D0F7-44BB-46E5-9687-08D053549E35}" type="presParOf" srcId="{53582C6D-BAD6-452B-A9D3-581B05C6CBFC}" destId="{493815DD-492D-4982-9BE4-407F9AB6052B}" srcOrd="4" destOrd="0" presId="urn:microsoft.com/office/officeart/2005/8/layout/pList1"/>
    <dgm:cxn modelId="{2BCDF664-C0B0-4055-A3CF-77ED45E5F52A}" type="presParOf" srcId="{493815DD-492D-4982-9BE4-407F9AB6052B}" destId="{2E514D19-8A2C-416A-B82C-976D3B469CF9}" srcOrd="0" destOrd="0" presId="urn:microsoft.com/office/officeart/2005/8/layout/pList1"/>
    <dgm:cxn modelId="{C1EC9D99-F2DE-4EC4-973C-9CE573B292AA}" type="presParOf" srcId="{493815DD-492D-4982-9BE4-407F9AB6052B}" destId="{2D0E5379-7676-4A4B-8E1A-F60EF643C50E}" srcOrd="1" destOrd="0" presId="urn:microsoft.com/office/officeart/2005/8/layout/pList1"/>
    <dgm:cxn modelId="{A7B36ED9-6A7F-4C1F-835D-B57E98D7BC99}" type="presParOf" srcId="{53582C6D-BAD6-452B-A9D3-581B05C6CBFC}" destId="{C8CD82FA-61D8-45CB-8C45-A5411B199A3B}" srcOrd="5" destOrd="0" presId="urn:microsoft.com/office/officeart/2005/8/layout/pList1"/>
    <dgm:cxn modelId="{8BF6060A-06B7-4CC1-BD37-573D2DDA4562}" type="presParOf" srcId="{53582C6D-BAD6-452B-A9D3-581B05C6CBFC}" destId="{EC79592D-A23A-4AF9-8133-DEA4F86632F9}" srcOrd="6" destOrd="0" presId="urn:microsoft.com/office/officeart/2005/8/layout/pList1"/>
    <dgm:cxn modelId="{B4E0A61F-D6F3-40B4-AB84-01B0345894A5}" type="presParOf" srcId="{EC79592D-A23A-4AF9-8133-DEA4F86632F9}" destId="{E50E48D6-A582-461A-9093-C90F2D4DB46F}" srcOrd="0" destOrd="0" presId="urn:microsoft.com/office/officeart/2005/8/layout/pList1"/>
    <dgm:cxn modelId="{CF05E903-4BF1-4E38-BE72-1A9446B1C6C5}" type="presParOf" srcId="{EC79592D-A23A-4AF9-8133-DEA4F86632F9}" destId="{F46E84D2-E2DD-4E2A-BC54-EFCCB2705A47}" srcOrd="1" destOrd="0" presId="urn:microsoft.com/office/officeart/2005/8/layout/pList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8CCA985-CFC3-45B6-BA09-27F153AF026E}">
      <dsp:nvSpPr>
        <dsp:cNvPr id="0" name=""/>
        <dsp:cNvSpPr/>
      </dsp:nvSpPr>
      <dsp:spPr>
        <a:xfrm rot="10800000">
          <a:off x="260344" y="2382"/>
          <a:ext cx="1203495" cy="829208"/>
        </a:xfrm>
        <a:prstGeom prst="roundRect">
          <a:avLst/>
        </a:prstGeom>
        <a:blipFill>
          <a:blip xmlns:r="http://schemas.openxmlformats.org/officeDocument/2006/relationships" r:embed="rId1" cstate="print">
            <a:extLst>
              <a:ext uri="{28A0092B-C50C-407E-A947-70E740481C1C}">
                <a14:useLocalDpi xmlns:a14="http://schemas.microsoft.com/office/drawing/2010/main" val="0"/>
              </a:ext>
            </a:extLst>
          </a:blip>
          <a:srcRect/>
          <a:stretch>
            <a:fillRect t="-4000" b="-4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90CC8461-EF56-43AA-9862-31FABA315134}">
      <dsp:nvSpPr>
        <dsp:cNvPr id="0" name=""/>
        <dsp:cNvSpPr/>
      </dsp:nvSpPr>
      <dsp:spPr>
        <a:xfrm>
          <a:off x="260344" y="831591"/>
          <a:ext cx="1203495" cy="4464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0904" tIns="120904" rIns="120904" bIns="0" numCol="1" spcCol="1270" anchor="t" anchorCtr="0">
          <a:noAutofit/>
        </a:bodyPr>
        <a:lstStyle/>
        <a:p>
          <a:pPr lvl="0" algn="ctr" defTabSz="755650">
            <a:lnSpc>
              <a:spcPct val="90000"/>
            </a:lnSpc>
            <a:spcBef>
              <a:spcPct val="0"/>
            </a:spcBef>
            <a:spcAft>
              <a:spcPct val="35000"/>
            </a:spcAft>
          </a:pPr>
          <a:r>
            <a:rPr lang="en-US" sz="1700" kern="1200"/>
            <a:t>Deepanshi</a:t>
          </a:r>
        </a:p>
      </dsp:txBody>
      <dsp:txXfrm>
        <a:off x="260344" y="831591"/>
        <a:ext cx="1203495" cy="446496"/>
      </dsp:txXfrm>
    </dsp:sp>
    <dsp:sp modelId="{E04740B6-60E4-4889-9592-375AAE89D36C}">
      <dsp:nvSpPr>
        <dsp:cNvPr id="0" name=""/>
        <dsp:cNvSpPr/>
      </dsp:nvSpPr>
      <dsp:spPr>
        <a:xfrm>
          <a:off x="1584239" y="2382"/>
          <a:ext cx="1203495" cy="829208"/>
        </a:xfrm>
        <a:prstGeom prst="roundRect">
          <a:avLst/>
        </a:prstGeom>
        <a:blipFill>
          <a:blip xmlns:r="http://schemas.openxmlformats.org/officeDocument/2006/relationships" r:embed="rId2" cstate="print">
            <a:extLst>
              <a:ext uri="{28A0092B-C50C-407E-A947-70E740481C1C}">
                <a14:useLocalDpi xmlns:a14="http://schemas.microsoft.com/office/drawing/2010/main" val="0"/>
              </a:ext>
            </a:extLst>
          </a:blip>
          <a:srcRect/>
          <a:stretch>
            <a:fillRect t="-4000" b="-4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786BCECF-D493-4CCF-B382-F0F20F1DA322}">
      <dsp:nvSpPr>
        <dsp:cNvPr id="0" name=""/>
        <dsp:cNvSpPr/>
      </dsp:nvSpPr>
      <dsp:spPr>
        <a:xfrm>
          <a:off x="1584239" y="831591"/>
          <a:ext cx="1203495" cy="4464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0904" tIns="120904" rIns="120904" bIns="0" numCol="1" spcCol="1270" anchor="t" anchorCtr="0">
          <a:noAutofit/>
        </a:bodyPr>
        <a:lstStyle/>
        <a:p>
          <a:pPr lvl="0" algn="ctr" defTabSz="755650">
            <a:lnSpc>
              <a:spcPct val="90000"/>
            </a:lnSpc>
            <a:spcBef>
              <a:spcPct val="0"/>
            </a:spcBef>
            <a:spcAft>
              <a:spcPct val="35000"/>
            </a:spcAft>
          </a:pPr>
          <a:r>
            <a:rPr lang="en-US" sz="1700" kern="1200"/>
            <a:t>TechVision</a:t>
          </a:r>
        </a:p>
      </dsp:txBody>
      <dsp:txXfrm>
        <a:off x="1584239" y="831591"/>
        <a:ext cx="1203495" cy="446496"/>
      </dsp:txXfrm>
    </dsp:sp>
    <dsp:sp modelId="{2E514D19-8A2C-416A-B82C-976D3B469CF9}">
      <dsp:nvSpPr>
        <dsp:cNvPr id="0" name=""/>
        <dsp:cNvSpPr/>
      </dsp:nvSpPr>
      <dsp:spPr>
        <a:xfrm>
          <a:off x="2908135" y="2382"/>
          <a:ext cx="1203495" cy="829208"/>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2D0E5379-7676-4A4B-8E1A-F60EF643C50E}">
      <dsp:nvSpPr>
        <dsp:cNvPr id="0" name=""/>
        <dsp:cNvSpPr/>
      </dsp:nvSpPr>
      <dsp:spPr>
        <a:xfrm>
          <a:off x="2908135" y="831591"/>
          <a:ext cx="1203495" cy="4464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0904" tIns="120904" rIns="120904" bIns="0" numCol="1" spcCol="1270" anchor="t" anchorCtr="0">
          <a:noAutofit/>
        </a:bodyPr>
        <a:lstStyle/>
        <a:p>
          <a:pPr lvl="0" algn="ctr" defTabSz="755650">
            <a:lnSpc>
              <a:spcPct val="90000"/>
            </a:lnSpc>
            <a:spcBef>
              <a:spcPct val="0"/>
            </a:spcBef>
            <a:spcAft>
              <a:spcPct val="35000"/>
            </a:spcAft>
          </a:pPr>
          <a:endParaRPr lang="en-US" sz="1700" kern="1200"/>
        </a:p>
      </dsp:txBody>
      <dsp:txXfrm>
        <a:off x="2908135" y="831591"/>
        <a:ext cx="1203495" cy="446496"/>
      </dsp:txXfrm>
    </dsp:sp>
    <dsp:sp modelId="{E50E48D6-A582-461A-9093-C90F2D4DB46F}">
      <dsp:nvSpPr>
        <dsp:cNvPr id="0" name=""/>
        <dsp:cNvSpPr/>
      </dsp:nvSpPr>
      <dsp:spPr>
        <a:xfrm>
          <a:off x="1584239" y="1398437"/>
          <a:ext cx="1203495" cy="829208"/>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F46E84D2-E2DD-4E2A-BC54-EFCCB2705A47}">
      <dsp:nvSpPr>
        <dsp:cNvPr id="0" name=""/>
        <dsp:cNvSpPr/>
      </dsp:nvSpPr>
      <dsp:spPr>
        <a:xfrm>
          <a:off x="1584239" y="2227645"/>
          <a:ext cx="1203495" cy="44649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0904" tIns="120904" rIns="120904" bIns="0" numCol="1" spcCol="1270" anchor="t" anchorCtr="0">
          <a:noAutofit/>
        </a:bodyPr>
        <a:lstStyle/>
        <a:p>
          <a:pPr lvl="0" algn="ctr" defTabSz="755650">
            <a:lnSpc>
              <a:spcPct val="90000"/>
            </a:lnSpc>
            <a:spcBef>
              <a:spcPct val="0"/>
            </a:spcBef>
            <a:spcAft>
              <a:spcPct val="35000"/>
            </a:spcAft>
          </a:pPr>
          <a:endParaRPr lang="en-US" sz="1700" kern="1200"/>
        </a:p>
      </dsp:txBody>
      <dsp:txXfrm>
        <a:off x="1584239" y="2227645"/>
        <a:ext cx="1203495" cy="446496"/>
      </dsp:txXfrm>
    </dsp:sp>
  </dsp:spTree>
</dsp:drawing>
</file>

<file path=xl/diagrams/layout1.xml><?xml version="1.0" encoding="utf-8"?>
<dgm:layoutDef xmlns:dgm="http://schemas.openxmlformats.org/drawingml/2006/diagram" xmlns:a="http://schemas.openxmlformats.org/drawingml/2006/main" uniqueId="urn:microsoft.com/office/officeart/2005/8/layout/pList1">
  <dgm:title val=""/>
  <dgm:desc val=""/>
  <dgm:catLst>
    <dgm:cat type="list" pri="2000"/>
    <dgm:cat type="picture" pri="2500"/>
    <dgm:cat type="pictureconvert" pri="2500"/>
  </dgm:catLst>
  <dgm:sampData>
    <dgm:dataModel>
      <dgm:ptLst>
        <dgm:pt modelId="0" type="doc"/>
        <dgm:pt modelId="1">
          <dgm:prSet phldr="1"/>
        </dgm:pt>
        <dgm:pt modelId="2">
          <dgm:prSet phldr="1"/>
        </dgm:pt>
        <dgm:pt modelId="3">
          <dgm:prSet phldr="1"/>
        </dgm:pt>
        <dgm:pt modelId="4">
          <dgm:prSet phldr="1"/>
        </dgm:pt>
      </dgm:ptLst>
      <dgm:cxnLst>
        <dgm:cxn modelId="7" srcId="0" destId="1" srcOrd="0" destOrd="0"/>
        <dgm:cxn modelId="8" srcId="0" destId="2" srcOrd="1" destOrd="0"/>
        <dgm:cxn modelId="9" srcId="0" destId="3" srcOrd="2" destOrd="0"/>
        <dgm:cxn modelId="10"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off" val="ctr"/>
          <dgm:param type="vertAlign" val="mid"/>
          <dgm:param type="horzAlign" val="ctr"/>
        </dgm:alg>
      </dgm:if>
      <dgm:else name="Name3">
        <dgm:alg type="snake">
          <dgm:param type="grDir" val="tR"/>
          <dgm:param type="flowDir" val="row"/>
          <dgm:param type="contDir" val="sameDir"/>
          <dgm:param type="off" val="ctr"/>
          <dgm:param type="vertAlign" val="mid"/>
          <dgm:param type="horzAlign" val="ctr"/>
        </dgm:alg>
      </dgm:else>
    </dgm:choose>
    <dgm:shape xmlns:r="http://schemas.openxmlformats.org/officeDocument/2006/relationships" r:blip="">
      <dgm:adjLst/>
    </dgm:shape>
    <dgm:presOf/>
    <dgm:constrLst>
      <dgm:constr type="w" for="ch" forName="compNode" refType="w"/>
      <dgm:constr type="w" for="ch" ptType="sibTrans" refType="w" refFor="ch" refForName="compNode" op="equ" fact="0.1"/>
      <dgm:constr type="sp" refType="w" refFor="ch" refForName="compNode" op="equ" fact="0.1"/>
      <dgm:constr type="primFontSz" for="des" ptType="node" op="equ" val="65"/>
    </dgm:constrLst>
    <dgm:ruleLst/>
    <dgm:forEach name="Name4" axis="ch" ptType="node">
      <dgm:layoutNode name="compNode">
        <dgm:alg type="composite">
          <dgm:param type="ar" val="0.943"/>
        </dgm:alg>
        <dgm:shape xmlns:r="http://schemas.openxmlformats.org/officeDocument/2006/relationships" r:blip="">
          <dgm:adjLst/>
        </dgm:shape>
        <dgm:presOf axis="self"/>
        <dgm:constrLst>
          <dgm:constr type="h" refType="w" fact="1.06"/>
          <dgm:constr type="h" for="ch" forName="pictRect" refType="h" fact="0.65"/>
          <dgm:constr type="w" for="ch" forName="pictRect" refType="w"/>
          <dgm:constr type="l" for="ch" forName="pictRect"/>
          <dgm:constr type="t" for="ch" forName="pictRect"/>
          <dgm:constr type="w" for="ch" forName="textRect" refType="w"/>
          <dgm:constr type="h" for="ch" forName="textRect" refType="h" fact="0.35"/>
          <dgm:constr type="l" for="ch" forName="textRect"/>
          <dgm:constr type="t" for="ch" forName="textRect" refType="b" refFor="ch" refForName="pictRect"/>
        </dgm:constrLst>
        <dgm:ruleLst/>
        <dgm:layoutNode name="pictRect">
          <dgm:alg type="sp"/>
          <dgm:shape xmlns:r="http://schemas.openxmlformats.org/officeDocument/2006/relationships" type="roundRect" r:blip="" blipPhldr="1">
            <dgm:adjLst/>
          </dgm:shape>
          <dgm:presOf/>
          <dgm:constrLst/>
          <dgm:ruleLst/>
        </dgm:layoutNode>
        <dgm:layoutNode name="textRect" styleLbl="revTx">
          <dgm:varLst>
            <dgm:bulletEnabled val="1"/>
          </dgm:varLst>
          <dgm:alg type="tx">
            <dgm:param type="txAnchorVert" val="t"/>
          </dgm:alg>
          <dgm:shape xmlns:r="http://schemas.openxmlformats.org/officeDocument/2006/relationships" type="rect" r:blip="">
            <dgm:adjLst/>
          </dgm:shape>
          <dgm:presOf axis="desOrSelf" ptType="node"/>
          <dgm:constrLst>
            <dgm:constr type="bMarg"/>
          </dgm:constrLst>
          <dgm:ruleLst>
            <dgm:rule type="primFontSz" val="5" fact="NaN" max="NaN"/>
          </dgm:ruleLst>
        </dgm:layoutNode>
      </dgm:layoutNode>
      <dgm:forEach name="Name5"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hyperlink" Target="#Sheet1!A1"/><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drawing1.xml><?xml version="1.0" encoding="utf-8"?>
<xdr:wsDr xmlns:xdr="http://schemas.openxmlformats.org/drawingml/2006/spreadsheetDrawing" xmlns:a="http://schemas.openxmlformats.org/drawingml/2006/main">
  <xdr:twoCellAnchor>
    <xdr:from>
      <xdr:col>7</xdr:col>
      <xdr:colOff>204787</xdr:colOff>
      <xdr:row>4</xdr:row>
      <xdr:rowOff>119062</xdr:rowOff>
    </xdr:from>
    <xdr:to>
      <xdr:col>14</xdr:col>
      <xdr:colOff>509587</xdr:colOff>
      <xdr:row>19</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542925</xdr:colOff>
      <xdr:row>10</xdr:row>
      <xdr:rowOff>76200</xdr:rowOff>
    </xdr:from>
    <xdr:to>
      <xdr:col>9</xdr:col>
      <xdr:colOff>238125</xdr:colOff>
      <xdr:row>24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104775</xdr:colOff>
      <xdr:row>0</xdr:row>
      <xdr:rowOff>133350</xdr:rowOff>
    </xdr:from>
    <xdr:to>
      <xdr:col>12</xdr:col>
      <xdr:colOff>95250</xdr:colOff>
      <xdr:row>13</xdr:row>
      <xdr:rowOff>180975</xdr:rowOff>
    </xdr:to>
    <mc:AlternateContent xmlns:mc="http://schemas.openxmlformats.org/markup-compatibility/2006" xmlns:a14="http://schemas.microsoft.com/office/drawing/2010/main">
      <mc:Choice Requires="a14">
        <xdr:graphicFrame macro="">
          <xdr:nvGraphicFramePr>
            <xdr:cNvPr id="2" name="colors"/>
            <xdr:cNvGraphicFramePr/>
          </xdr:nvGraphicFramePr>
          <xdr:xfrm>
            <a:off x="0" y="0"/>
            <a:ext cx="0" cy="0"/>
          </xdr:xfrm>
          <a:graphic>
            <a:graphicData uri="http://schemas.microsoft.com/office/drawing/2010/slicer">
              <sle:slicer xmlns:sle="http://schemas.microsoft.com/office/drawing/2010/slicer" name="colors"/>
            </a:graphicData>
          </a:graphic>
        </xdr:graphicFrame>
      </mc:Choice>
      <mc:Fallback xmlns="">
        <xdr:sp macro="" textlink="">
          <xdr:nvSpPr>
            <xdr:cNvPr id="0" name=""/>
            <xdr:cNvSpPr>
              <a:spLocks noTextEdit="1"/>
            </xdr:cNvSpPr>
          </xdr:nvSpPr>
          <xdr:spPr>
            <a:xfrm>
              <a:off x="6134100" y="133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390525</xdr:colOff>
      <xdr:row>4</xdr:row>
      <xdr:rowOff>38100</xdr:rowOff>
    </xdr:from>
    <xdr:to>
      <xdr:col>9</xdr:col>
      <xdr:colOff>523875</xdr:colOff>
      <xdr:row>6</xdr:row>
      <xdr:rowOff>171450</xdr:rowOff>
    </xdr:to>
    <xdr:sp macro="" textlink="">
      <xdr:nvSpPr>
        <xdr:cNvPr id="2" name="Left Arrow 1">
          <a:hlinkClick xmlns:r="http://schemas.openxmlformats.org/officeDocument/2006/relationships" r:id="rId1"/>
        </xdr:cNvPr>
        <xdr:cNvSpPr/>
      </xdr:nvSpPr>
      <xdr:spPr>
        <a:xfrm>
          <a:off x="4981575" y="800100"/>
          <a:ext cx="1352550" cy="5143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Back To Home</a:t>
          </a:r>
        </a:p>
      </xdr:txBody>
    </xdr:sp>
    <xdr:clientData/>
  </xdr:twoCellAnchor>
  <xdr:twoCellAnchor>
    <xdr:from>
      <xdr:col>9</xdr:col>
      <xdr:colOff>590549</xdr:colOff>
      <xdr:row>3</xdr:row>
      <xdr:rowOff>85724</xdr:rowOff>
    </xdr:from>
    <xdr:to>
      <xdr:col>17</xdr:col>
      <xdr:colOff>85724</xdr:colOff>
      <xdr:row>17</xdr:row>
      <xdr:rowOff>95249</xdr:rowOff>
    </xdr:to>
    <xdr:graphicFrame macro="">
      <xdr:nvGraphicFramePr>
        <xdr:cNvPr id="3" name="Diagra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3858.480192939816" createdVersion="6" refreshedVersion="6" minRefreshableVersion="3" recordCount="14">
  <cacheSource type="worksheet">
    <worksheetSource ref="A1:D15" sheet="Sheet2"/>
  </cacheSource>
  <cacheFields count="4">
    <cacheField name="name" numFmtId="0">
      <sharedItems count="14">
        <s v="e-101"/>
        <s v="e-102"/>
        <s v="e-103"/>
        <s v="e-104"/>
        <s v="e-105"/>
        <s v="e-106"/>
        <s v="e-107"/>
        <s v="e-108"/>
        <s v="e-109"/>
        <s v="e-110"/>
        <s v="e-111"/>
        <s v="e-112"/>
        <s v="e-113"/>
        <s v="e-114"/>
      </sharedItems>
    </cacheField>
    <cacheField name="dep." numFmtId="0">
      <sharedItems count="3">
        <s v="Testing"/>
        <s v="devlop"/>
        <s v="Hr"/>
      </sharedItems>
    </cacheField>
    <cacheField name="loc." numFmtId="0">
      <sharedItems count="3">
        <s v="noida"/>
        <s v="delhi"/>
        <s v="gurugram"/>
      </sharedItems>
    </cacheField>
    <cacheField name="sal." numFmtId="0">
      <sharedItems containsSemiMixedTypes="0" containsString="0" containsNumber="1" containsInteger="1" minValue="8714" maxValue="18961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3858.485118171295" createdVersion="6" refreshedVersion="6" minRefreshableVersion="3" recordCount="17">
  <cacheSource type="worksheet">
    <worksheetSource ref="A1:C18" sheet="Sheet4"/>
  </cacheSource>
  <cacheFields count="5">
    <cacheField name="date" numFmtId="14">
      <sharedItems containsSemiMixedTypes="0" containsNonDate="0" containsDate="1" containsString="0" minDate="2017-01-01T00:00:00" maxDate="2019-01-08T00:00:00" count="17">
        <d v="2017-01-01T00:00:00"/>
        <d v="2017-01-02T00:00:00"/>
        <d v="2017-01-03T00:00:00"/>
        <d v="2017-01-04T00:00:00"/>
        <d v="2017-01-05T00:00:00"/>
        <d v="2018-01-01T00:00:00"/>
        <d v="2018-01-02T00:00:00"/>
        <d v="2018-01-03T00:00:00"/>
        <d v="2018-01-04T00:00:00"/>
        <d v="2018-01-05T00:00:00"/>
        <d v="2019-01-01T00:00:00"/>
        <d v="2019-01-02T00:00:00"/>
        <d v="2019-01-03T00:00:00"/>
        <d v="2019-01-04T00:00:00"/>
        <d v="2019-01-05T00:00:00"/>
        <d v="2019-01-06T00:00:00"/>
        <d v="2019-01-07T00:00:00"/>
      </sharedItems>
      <fieldGroup par="4" base="0">
        <rangePr groupBy="months" startDate="2017-01-01T00:00:00" endDate="2019-01-08T00:00:00"/>
        <groupItems count="14">
          <s v="&lt;01-01-17"/>
          <s v="Jan"/>
          <s v="Feb"/>
          <s v="Mar"/>
          <s v="Apr"/>
          <s v="May"/>
          <s v="Jun"/>
          <s v="Jul"/>
          <s v="Aug"/>
          <s v="Sep"/>
          <s v="Oct"/>
          <s v="Nov"/>
          <s v="Dec"/>
          <s v="&gt;08-01-19"/>
        </groupItems>
      </fieldGroup>
    </cacheField>
    <cacheField name="colors" numFmtId="0">
      <sharedItems count="3">
        <s v="red"/>
        <s v="green"/>
        <s v="silver"/>
      </sharedItems>
    </cacheField>
    <cacheField name="value" numFmtId="0">
      <sharedItems containsSemiMixedTypes="0" containsString="0" containsNumber="1" containsInteger="1" minValue="102" maxValue="118"/>
    </cacheField>
    <cacheField name="Quarters" numFmtId="0" databaseField="0">
      <fieldGroup base="0">
        <rangePr groupBy="quarters" startDate="2017-01-01T00:00:00" endDate="2019-01-08T00:00:00"/>
        <groupItems count="6">
          <s v="&lt;01-01-17"/>
          <s v="Qtr1"/>
          <s v="Qtr2"/>
          <s v="Qtr3"/>
          <s v="Qtr4"/>
          <s v="&gt;08-01-19"/>
        </groupItems>
      </fieldGroup>
    </cacheField>
    <cacheField name="Years" numFmtId="0" databaseField="0">
      <fieldGroup base="0">
        <rangePr groupBy="years" startDate="2017-01-01T00:00:00" endDate="2019-01-08T00:00:00"/>
        <groupItems count="5">
          <s v="&lt;01-01-17"/>
          <s v="2017"/>
          <s v="2018"/>
          <s v="2019"/>
          <s v="&gt;08-01-19"/>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
  <r>
    <x v="0"/>
    <x v="0"/>
    <x v="0"/>
    <n v="123323"/>
  </r>
  <r>
    <x v="1"/>
    <x v="1"/>
    <x v="1"/>
    <n v="140958"/>
  </r>
  <r>
    <x v="2"/>
    <x v="2"/>
    <x v="2"/>
    <n v="49889"/>
  </r>
  <r>
    <x v="3"/>
    <x v="0"/>
    <x v="0"/>
    <n v="78864"/>
  </r>
  <r>
    <x v="4"/>
    <x v="1"/>
    <x v="1"/>
    <n v="145577"/>
  </r>
  <r>
    <x v="5"/>
    <x v="2"/>
    <x v="2"/>
    <n v="160050"/>
  </r>
  <r>
    <x v="6"/>
    <x v="0"/>
    <x v="0"/>
    <n v="77796"/>
  </r>
  <r>
    <x v="7"/>
    <x v="1"/>
    <x v="1"/>
    <n v="64157"/>
  </r>
  <r>
    <x v="8"/>
    <x v="2"/>
    <x v="2"/>
    <n v="189617"/>
  </r>
  <r>
    <x v="9"/>
    <x v="0"/>
    <x v="0"/>
    <n v="20855"/>
  </r>
  <r>
    <x v="10"/>
    <x v="1"/>
    <x v="1"/>
    <n v="16122"/>
  </r>
  <r>
    <x v="11"/>
    <x v="2"/>
    <x v="2"/>
    <n v="31620"/>
  </r>
  <r>
    <x v="12"/>
    <x v="0"/>
    <x v="0"/>
    <n v="8714"/>
  </r>
  <r>
    <x v="13"/>
    <x v="1"/>
    <x v="1"/>
    <n v="120535"/>
  </r>
</pivotCacheRecords>
</file>

<file path=xl/pivotCache/pivotCacheRecords2.xml><?xml version="1.0" encoding="utf-8"?>
<pivotCacheRecords xmlns="http://schemas.openxmlformats.org/spreadsheetml/2006/main" xmlns:r="http://schemas.openxmlformats.org/officeDocument/2006/relationships" count="17">
  <r>
    <x v="0"/>
    <x v="0"/>
    <n v="102"/>
  </r>
  <r>
    <x v="1"/>
    <x v="1"/>
    <n v="103"/>
  </r>
  <r>
    <x v="2"/>
    <x v="2"/>
    <n v="104"/>
  </r>
  <r>
    <x v="3"/>
    <x v="0"/>
    <n v="105"/>
  </r>
  <r>
    <x v="4"/>
    <x v="1"/>
    <n v="106"/>
  </r>
  <r>
    <x v="5"/>
    <x v="2"/>
    <n v="107"/>
  </r>
  <r>
    <x v="6"/>
    <x v="0"/>
    <n v="108"/>
  </r>
  <r>
    <x v="7"/>
    <x v="1"/>
    <n v="109"/>
  </r>
  <r>
    <x v="8"/>
    <x v="2"/>
    <n v="110"/>
  </r>
  <r>
    <x v="9"/>
    <x v="0"/>
    <n v="111"/>
  </r>
  <r>
    <x v="10"/>
    <x v="1"/>
    <n v="112"/>
  </r>
  <r>
    <x v="11"/>
    <x v="2"/>
    <n v="113"/>
  </r>
  <r>
    <x v="12"/>
    <x v="0"/>
    <n v="114"/>
  </r>
  <r>
    <x v="13"/>
    <x v="1"/>
    <n v="115"/>
  </r>
  <r>
    <x v="14"/>
    <x v="2"/>
    <n v="116"/>
  </r>
  <r>
    <x v="15"/>
    <x v="0"/>
    <n v="117"/>
  </r>
  <r>
    <x v="16"/>
    <x v="1"/>
    <n v="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3:G21" firstHeaderRow="1" firstDataRow="1" firstDataCol="1"/>
  <pivotFields count="4">
    <pivotField axis="axisRow" showAll="0" sortType="descending">
      <items count="15">
        <item x="0"/>
        <item x="1"/>
        <item x="2"/>
        <item x="3"/>
        <item x="4"/>
        <item x="5"/>
        <item x="6"/>
        <item x="7"/>
        <item x="8"/>
        <item x="9"/>
        <item x="10"/>
        <item x="11"/>
        <item x="12"/>
        <item x="13"/>
        <item t="default"/>
      </items>
      <autoSortScope>
        <pivotArea dataOnly="0" outline="0" fieldPosition="0">
          <references count="1">
            <reference field="4294967294" count="1" selected="0">
              <x v="0"/>
            </reference>
          </references>
        </pivotArea>
      </autoSortScope>
    </pivotField>
    <pivotField showAll="0">
      <items count="4">
        <item x="1"/>
        <item x="2"/>
        <item x="0"/>
        <item t="default"/>
      </items>
    </pivotField>
    <pivotField axis="axisRow" showAll="0">
      <items count="4">
        <item x="1"/>
        <item x="2"/>
        <item x="0"/>
        <item t="default"/>
      </items>
    </pivotField>
    <pivotField dataField="1" showAll="0"/>
  </pivotFields>
  <rowFields count="2">
    <field x="2"/>
    <field x="0"/>
  </rowFields>
  <rowItems count="18">
    <i>
      <x/>
    </i>
    <i r="1">
      <x v="4"/>
    </i>
    <i r="1">
      <x v="1"/>
    </i>
    <i r="1">
      <x v="13"/>
    </i>
    <i r="1">
      <x v="7"/>
    </i>
    <i r="1">
      <x v="10"/>
    </i>
    <i>
      <x v="1"/>
    </i>
    <i r="1">
      <x v="8"/>
    </i>
    <i r="1">
      <x v="5"/>
    </i>
    <i r="1">
      <x v="2"/>
    </i>
    <i r="1">
      <x v="11"/>
    </i>
    <i>
      <x v="2"/>
    </i>
    <i r="1">
      <x/>
    </i>
    <i r="1">
      <x v="3"/>
    </i>
    <i r="1">
      <x v="6"/>
    </i>
    <i r="1">
      <x v="9"/>
    </i>
    <i r="1">
      <x v="12"/>
    </i>
    <i t="grand">
      <x/>
    </i>
  </rowItems>
  <colItems count="1">
    <i/>
  </colItems>
  <dataFields count="1">
    <dataField name="Sum of sal." fld="3"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olor Name" colHeaderCaption="Years">
  <location ref="F2:J7" firstHeaderRow="1" firstDataRow="2" firstDataCol="1"/>
  <pivotFields count="5">
    <pivotField numFmtId="14" showAll="0">
      <items count="15">
        <item x="0"/>
        <item x="1"/>
        <item x="2"/>
        <item x="3"/>
        <item x="4"/>
        <item x="5"/>
        <item x="6"/>
        <item x="7"/>
        <item x="8"/>
        <item x="9"/>
        <item x="10"/>
        <item x="11"/>
        <item x="12"/>
        <item x="13"/>
        <item t="default"/>
      </items>
    </pivotField>
    <pivotField axis="axisRow" showAll="0">
      <items count="4">
        <item x="1"/>
        <item x="0"/>
        <item x="2"/>
        <item t="default"/>
      </items>
    </pivotField>
    <pivotField dataField="1" showAll="0"/>
    <pivotField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1"/>
  </rowFields>
  <rowItems count="4">
    <i>
      <x/>
    </i>
    <i>
      <x v="1"/>
    </i>
    <i>
      <x v="2"/>
    </i>
    <i t="grand">
      <x/>
    </i>
  </rowItems>
  <colFields count="1">
    <field x="4"/>
  </colFields>
  <colItems count="4">
    <i>
      <x v="1"/>
    </i>
    <i>
      <x v="2"/>
    </i>
    <i>
      <x v="3"/>
    </i>
    <i t="grand">
      <x/>
    </i>
  </colItems>
  <dataFields count="1">
    <dataField name="colors Total sal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lors" sourceName="colors">
  <pivotTables>
    <pivotTable tabId="4" name="PivotTable3"/>
  </pivotTables>
  <data>
    <tabular pivotCacheId="1">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lors" cache="Slicer_colors" caption="colo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techvisioni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7"/>
  <sheetViews>
    <sheetView workbookViewId="0">
      <selection activeCell="B18" sqref="B18"/>
    </sheetView>
  </sheetViews>
  <sheetFormatPr defaultRowHeight="15" x14ac:dyDescent="0.25"/>
  <sheetData>
    <row r="1" spans="1:3" x14ac:dyDescent="0.25">
      <c r="A1" t="s">
        <v>0</v>
      </c>
      <c r="B1" t="s">
        <v>1</v>
      </c>
      <c r="C1" t="s">
        <v>13</v>
      </c>
    </row>
    <row r="2" spans="1:3" x14ac:dyDescent="0.25">
      <c r="A2" t="s">
        <v>2</v>
      </c>
      <c r="B2">
        <v>70819</v>
      </c>
      <c r="C2" t="s">
        <v>14</v>
      </c>
    </row>
    <row r="3" spans="1:3" x14ac:dyDescent="0.25">
      <c r="A3" t="s">
        <v>3</v>
      </c>
      <c r="B3">
        <v>8180</v>
      </c>
      <c r="C3" t="s">
        <v>15</v>
      </c>
    </row>
    <row r="4" spans="1:3" x14ac:dyDescent="0.25">
      <c r="A4" t="s">
        <v>4</v>
      </c>
      <c r="B4">
        <v>115700</v>
      </c>
      <c r="C4" t="s">
        <v>16</v>
      </c>
    </row>
    <row r="5" spans="1:3" x14ac:dyDescent="0.25">
      <c r="A5" t="s">
        <v>5</v>
      </c>
      <c r="B5">
        <v>46890</v>
      </c>
      <c r="C5" t="s">
        <v>14</v>
      </c>
    </row>
    <row r="6" spans="1:3" x14ac:dyDescent="0.25">
      <c r="A6" t="s">
        <v>6</v>
      </c>
      <c r="B6">
        <v>43856</v>
      </c>
      <c r="C6" t="s">
        <v>15</v>
      </c>
    </row>
    <row r="7" spans="1:3" x14ac:dyDescent="0.25">
      <c r="A7" t="s">
        <v>7</v>
      </c>
      <c r="B7">
        <v>97505</v>
      </c>
      <c r="C7" t="s">
        <v>16</v>
      </c>
    </row>
    <row r="8" spans="1:3" x14ac:dyDescent="0.25">
      <c r="A8" t="s">
        <v>8</v>
      </c>
      <c r="B8">
        <v>34487</v>
      </c>
      <c r="C8" t="s">
        <v>14</v>
      </c>
    </row>
    <row r="9" spans="1:3" x14ac:dyDescent="0.25">
      <c r="A9" t="s">
        <v>9</v>
      </c>
      <c r="B9">
        <v>45146</v>
      </c>
      <c r="C9" t="s">
        <v>15</v>
      </c>
    </row>
    <row r="10" spans="1:3" x14ac:dyDescent="0.25">
      <c r="A10" t="s">
        <v>10</v>
      </c>
      <c r="B10">
        <v>88644</v>
      </c>
      <c r="C10" t="s">
        <v>16</v>
      </c>
    </row>
    <row r="11" spans="1:3" x14ac:dyDescent="0.25">
      <c r="A11" t="s">
        <v>11</v>
      </c>
      <c r="B11">
        <v>57580</v>
      </c>
      <c r="C11" t="s">
        <v>14</v>
      </c>
    </row>
    <row r="12" spans="1:3" x14ac:dyDescent="0.25">
      <c r="A12" t="s">
        <v>12</v>
      </c>
      <c r="B12">
        <v>89600</v>
      </c>
      <c r="C12" t="s">
        <v>15</v>
      </c>
    </row>
    <row r="15" spans="1:3" x14ac:dyDescent="0.25">
      <c r="B15" t="e">
        <f>VLOOKUP(MAX(B2:B12),A1:C12,3,0)</f>
        <v>#N/A</v>
      </c>
    </row>
    <row r="17" spans="3:3" x14ac:dyDescent="0.25">
      <c r="C17" t="str">
        <f>VLOOKUP(MAX(B2:B12),B2:C12,2,0)</f>
        <v>gurugram</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topLeftCell="A4" workbookViewId="0">
      <selection activeCell="L23" sqref="L23"/>
    </sheetView>
  </sheetViews>
  <sheetFormatPr defaultRowHeight="15" x14ac:dyDescent="0.25"/>
  <cols>
    <col min="6" max="6" width="13.140625" bestFit="1" customWidth="1"/>
    <col min="7" max="7" width="10.5703125" bestFit="1" customWidth="1"/>
  </cols>
  <sheetData>
    <row r="1" spans="1:7" x14ac:dyDescent="0.25">
      <c r="A1" t="s">
        <v>0</v>
      </c>
      <c r="B1" t="s">
        <v>17</v>
      </c>
      <c r="C1" t="s">
        <v>18</v>
      </c>
      <c r="D1" t="s">
        <v>19</v>
      </c>
    </row>
    <row r="2" spans="1:7" x14ac:dyDescent="0.25">
      <c r="A2" t="s">
        <v>2</v>
      </c>
      <c r="B2" t="s">
        <v>23</v>
      </c>
      <c r="C2" t="s">
        <v>15</v>
      </c>
      <c r="D2">
        <v>123323</v>
      </c>
    </row>
    <row r="3" spans="1:7" x14ac:dyDescent="0.25">
      <c r="A3" t="s">
        <v>3</v>
      </c>
      <c r="B3" t="s">
        <v>24</v>
      </c>
      <c r="C3" t="s">
        <v>14</v>
      </c>
      <c r="D3">
        <v>140958</v>
      </c>
      <c r="F3" s="1" t="s">
        <v>25</v>
      </c>
      <c r="G3" t="s">
        <v>28</v>
      </c>
    </row>
    <row r="4" spans="1:7" x14ac:dyDescent="0.25">
      <c r="A4" t="s">
        <v>4</v>
      </c>
      <c r="B4" t="s">
        <v>27</v>
      </c>
      <c r="C4" t="s">
        <v>16</v>
      </c>
      <c r="D4">
        <v>49889</v>
      </c>
      <c r="F4" s="2" t="s">
        <v>14</v>
      </c>
      <c r="G4" s="4">
        <v>487349</v>
      </c>
    </row>
    <row r="5" spans="1:7" x14ac:dyDescent="0.25">
      <c r="A5" t="s">
        <v>5</v>
      </c>
      <c r="B5" t="s">
        <v>23</v>
      </c>
      <c r="C5" t="s">
        <v>15</v>
      </c>
      <c r="D5">
        <v>78864</v>
      </c>
      <c r="F5" s="3" t="s">
        <v>6</v>
      </c>
      <c r="G5" s="4">
        <v>145577</v>
      </c>
    </row>
    <row r="6" spans="1:7" x14ac:dyDescent="0.25">
      <c r="A6" t="s">
        <v>6</v>
      </c>
      <c r="B6" t="s">
        <v>24</v>
      </c>
      <c r="C6" t="s">
        <v>14</v>
      </c>
      <c r="D6">
        <v>145577</v>
      </c>
      <c r="F6" s="3" t="s">
        <v>3</v>
      </c>
      <c r="G6" s="4">
        <v>140958</v>
      </c>
    </row>
    <row r="7" spans="1:7" x14ac:dyDescent="0.25">
      <c r="A7" t="s">
        <v>7</v>
      </c>
      <c r="B7" t="s">
        <v>27</v>
      </c>
      <c r="C7" t="s">
        <v>16</v>
      </c>
      <c r="D7">
        <v>160050</v>
      </c>
      <c r="F7" s="3" t="s">
        <v>22</v>
      </c>
      <c r="G7" s="4">
        <v>120535</v>
      </c>
    </row>
    <row r="8" spans="1:7" x14ac:dyDescent="0.25">
      <c r="A8" t="s">
        <v>8</v>
      </c>
      <c r="B8" t="s">
        <v>23</v>
      </c>
      <c r="C8" t="s">
        <v>15</v>
      </c>
      <c r="D8">
        <v>77796</v>
      </c>
      <c r="F8" s="3" t="s">
        <v>9</v>
      </c>
      <c r="G8" s="4">
        <v>64157</v>
      </c>
    </row>
    <row r="9" spans="1:7" x14ac:dyDescent="0.25">
      <c r="A9" t="s">
        <v>9</v>
      </c>
      <c r="B9" t="s">
        <v>24</v>
      </c>
      <c r="C9" t="s">
        <v>14</v>
      </c>
      <c r="D9">
        <v>64157</v>
      </c>
      <c r="F9" s="3" t="s">
        <v>12</v>
      </c>
      <c r="G9" s="4">
        <v>16122</v>
      </c>
    </row>
    <row r="10" spans="1:7" x14ac:dyDescent="0.25">
      <c r="A10" t="s">
        <v>10</v>
      </c>
      <c r="B10" t="s">
        <v>27</v>
      </c>
      <c r="C10" t="s">
        <v>16</v>
      </c>
      <c r="D10">
        <v>189617</v>
      </c>
      <c r="F10" s="2" t="s">
        <v>16</v>
      </c>
      <c r="G10" s="4">
        <v>431176</v>
      </c>
    </row>
    <row r="11" spans="1:7" x14ac:dyDescent="0.25">
      <c r="A11" t="s">
        <v>11</v>
      </c>
      <c r="B11" t="s">
        <v>23</v>
      </c>
      <c r="C11" t="s">
        <v>15</v>
      </c>
      <c r="D11">
        <v>20855</v>
      </c>
      <c r="F11" s="3" t="s">
        <v>10</v>
      </c>
      <c r="G11" s="4">
        <v>189617</v>
      </c>
    </row>
    <row r="12" spans="1:7" x14ac:dyDescent="0.25">
      <c r="A12" t="s">
        <v>12</v>
      </c>
      <c r="B12" t="s">
        <v>24</v>
      </c>
      <c r="C12" t="s">
        <v>14</v>
      </c>
      <c r="D12">
        <v>16122</v>
      </c>
      <c r="F12" s="3" t="s">
        <v>7</v>
      </c>
      <c r="G12" s="4">
        <v>160050</v>
      </c>
    </row>
    <row r="13" spans="1:7" x14ac:dyDescent="0.25">
      <c r="A13" t="s">
        <v>20</v>
      </c>
      <c r="B13" t="s">
        <v>27</v>
      </c>
      <c r="C13" t="s">
        <v>16</v>
      </c>
      <c r="D13">
        <v>31620</v>
      </c>
      <c r="F13" s="3" t="s">
        <v>4</v>
      </c>
      <c r="G13" s="4">
        <v>49889</v>
      </c>
    </row>
    <row r="14" spans="1:7" x14ac:dyDescent="0.25">
      <c r="A14" t="s">
        <v>21</v>
      </c>
      <c r="B14" t="s">
        <v>23</v>
      </c>
      <c r="C14" t="s">
        <v>15</v>
      </c>
      <c r="D14">
        <v>8714</v>
      </c>
      <c r="F14" s="3" t="s">
        <v>20</v>
      </c>
      <c r="G14" s="4">
        <v>31620</v>
      </c>
    </row>
    <row r="15" spans="1:7" x14ac:dyDescent="0.25">
      <c r="A15" t="s">
        <v>22</v>
      </c>
      <c r="B15" t="s">
        <v>24</v>
      </c>
      <c r="C15" t="s">
        <v>14</v>
      </c>
      <c r="D15">
        <v>120535</v>
      </c>
      <c r="F15" s="2" t="s">
        <v>15</v>
      </c>
      <c r="G15" s="4">
        <v>309552</v>
      </c>
    </row>
    <row r="16" spans="1:7" x14ac:dyDescent="0.25">
      <c r="F16" s="3" t="s">
        <v>2</v>
      </c>
      <c r="G16" s="4">
        <v>123323</v>
      </c>
    </row>
    <row r="17" spans="6:7" x14ac:dyDescent="0.25">
      <c r="F17" s="3" t="s">
        <v>5</v>
      </c>
      <c r="G17" s="4">
        <v>78864</v>
      </c>
    </row>
    <row r="18" spans="6:7" x14ac:dyDescent="0.25">
      <c r="F18" s="3" t="s">
        <v>8</v>
      </c>
      <c r="G18" s="4">
        <v>77796</v>
      </c>
    </row>
    <row r="19" spans="6:7" x14ac:dyDescent="0.25">
      <c r="F19" s="3" t="s">
        <v>11</v>
      </c>
      <c r="G19" s="4">
        <v>20855</v>
      </c>
    </row>
    <row r="20" spans="6:7" x14ac:dyDescent="0.25">
      <c r="F20" s="3" t="s">
        <v>21</v>
      </c>
      <c r="G20" s="4">
        <v>8714</v>
      </c>
    </row>
    <row r="21" spans="6:7" x14ac:dyDescent="0.25">
      <c r="F21" s="2" t="s">
        <v>26</v>
      </c>
      <c r="G21" s="4">
        <v>1228077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4:L10"/>
  <sheetViews>
    <sheetView showGridLines="0" workbookViewId="0">
      <selection activeCell="O13" sqref="O13"/>
    </sheetView>
  </sheetViews>
  <sheetFormatPr defaultRowHeight="15" x14ac:dyDescent="0.25"/>
  <sheetData>
    <row r="4" spans="5:12" x14ac:dyDescent="0.25">
      <c r="E4" s="5" t="s">
        <v>57</v>
      </c>
      <c r="F4" s="6">
        <v>431176</v>
      </c>
      <c r="H4" s="5" t="s">
        <v>58</v>
      </c>
      <c r="I4" s="6">
        <v>309552</v>
      </c>
      <c r="K4" s="5" t="s">
        <v>59</v>
      </c>
      <c r="L4" s="6">
        <v>487349</v>
      </c>
    </row>
    <row r="5" spans="5:12" x14ac:dyDescent="0.25">
      <c r="E5" s="7" t="s">
        <v>27</v>
      </c>
      <c r="F5" s="6">
        <v>431176</v>
      </c>
      <c r="H5" s="7" t="s">
        <v>23</v>
      </c>
      <c r="I5" s="6">
        <v>309552</v>
      </c>
      <c r="K5" s="7" t="s">
        <v>24</v>
      </c>
      <c r="L5" s="6">
        <v>487349</v>
      </c>
    </row>
    <row r="6" spans="5:12" x14ac:dyDescent="0.25">
      <c r="E6" s="8" t="s">
        <v>4</v>
      </c>
      <c r="F6" s="9">
        <v>49889</v>
      </c>
      <c r="H6" s="8" t="s">
        <v>2</v>
      </c>
      <c r="I6" s="9">
        <v>123323</v>
      </c>
      <c r="K6" s="8" t="s">
        <v>3</v>
      </c>
      <c r="L6" s="9">
        <v>140958</v>
      </c>
    </row>
    <row r="7" spans="5:12" x14ac:dyDescent="0.25">
      <c r="E7" s="8" t="s">
        <v>7</v>
      </c>
      <c r="F7" s="9">
        <v>160050</v>
      </c>
      <c r="H7" s="8" t="s">
        <v>5</v>
      </c>
      <c r="I7" s="9">
        <v>78864</v>
      </c>
      <c r="K7" s="8" t="s">
        <v>6</v>
      </c>
      <c r="L7" s="9">
        <v>145577</v>
      </c>
    </row>
    <row r="8" spans="5:12" x14ac:dyDescent="0.25">
      <c r="E8" s="8" t="s">
        <v>10</v>
      </c>
      <c r="F8" s="9">
        <v>189617</v>
      </c>
      <c r="H8" s="8" t="s">
        <v>8</v>
      </c>
      <c r="I8" s="9">
        <v>77796</v>
      </c>
      <c r="K8" s="8" t="s">
        <v>9</v>
      </c>
      <c r="L8" s="9">
        <v>64157</v>
      </c>
    </row>
    <row r="9" spans="5:12" x14ac:dyDescent="0.25">
      <c r="E9" s="8" t="s">
        <v>20</v>
      </c>
      <c r="F9" s="9">
        <v>31620</v>
      </c>
      <c r="H9" s="8" t="s">
        <v>11</v>
      </c>
      <c r="I9" s="9">
        <v>20855</v>
      </c>
      <c r="K9" s="8" t="s">
        <v>12</v>
      </c>
      <c r="L9" s="9">
        <v>16122</v>
      </c>
    </row>
    <row r="10" spans="5:12" x14ac:dyDescent="0.25">
      <c r="H10" s="8" t="s">
        <v>21</v>
      </c>
      <c r="I10" s="9">
        <v>8714</v>
      </c>
      <c r="K10" s="8" t="s">
        <v>22</v>
      </c>
      <c r="L10" s="9">
        <v>120535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8"/>
  <sheetViews>
    <sheetView workbookViewId="0">
      <selection activeCell="F4" sqref="F4:J4"/>
      <pivotSelection pane="bottomRight" showHeader="1" extendable="1" axis="axisRow" max="4" activeRow="3" activeCol="5" previousRow="3" previousCol="5" click="1" r:id="rId1">
        <pivotArea dataOnly="0" fieldPosition="0">
          <references count="1">
            <reference field="1" count="1">
              <x v="0"/>
            </reference>
          </references>
        </pivotArea>
      </pivotSelection>
    </sheetView>
  </sheetViews>
  <sheetFormatPr defaultRowHeight="15" x14ac:dyDescent="0.25"/>
  <cols>
    <col min="6" max="6" width="15.28515625" customWidth="1"/>
    <col min="7" max="7" width="8.140625" customWidth="1"/>
    <col min="8" max="9" width="5" customWidth="1"/>
    <col min="10" max="11" width="11.28515625" customWidth="1"/>
    <col min="12" max="22" width="16.28515625" bestFit="1" customWidth="1"/>
    <col min="23" max="23" width="11.28515625" bestFit="1" customWidth="1"/>
  </cols>
  <sheetData>
    <row r="1" spans="1:10" x14ac:dyDescent="0.25">
      <c r="A1" t="s">
        <v>29</v>
      </c>
      <c r="B1" t="s">
        <v>30</v>
      </c>
      <c r="C1" t="s">
        <v>34</v>
      </c>
    </row>
    <row r="2" spans="1:10" x14ac:dyDescent="0.25">
      <c r="A2" s="10">
        <v>42736</v>
      </c>
      <c r="B2" t="s">
        <v>31</v>
      </c>
      <c r="C2">
        <v>102</v>
      </c>
      <c r="F2" s="1" t="s">
        <v>38</v>
      </c>
      <c r="G2" s="1" t="s">
        <v>39</v>
      </c>
    </row>
    <row r="3" spans="1:10" x14ac:dyDescent="0.25">
      <c r="A3" s="10">
        <v>42737</v>
      </c>
      <c r="B3" t="s">
        <v>32</v>
      </c>
      <c r="C3">
        <v>103</v>
      </c>
      <c r="F3" s="1" t="s">
        <v>40</v>
      </c>
      <c r="G3" t="s">
        <v>35</v>
      </c>
      <c r="H3" t="s">
        <v>36</v>
      </c>
      <c r="I3" t="s">
        <v>37</v>
      </c>
      <c r="J3" t="s">
        <v>26</v>
      </c>
    </row>
    <row r="4" spans="1:10" x14ac:dyDescent="0.25">
      <c r="A4" s="10">
        <v>42738</v>
      </c>
      <c r="B4" t="s">
        <v>33</v>
      </c>
      <c r="C4">
        <v>104</v>
      </c>
      <c r="F4" s="2" t="s">
        <v>32</v>
      </c>
      <c r="G4" s="4">
        <v>209</v>
      </c>
      <c r="H4" s="4">
        <v>109</v>
      </c>
      <c r="I4" s="4">
        <v>345</v>
      </c>
      <c r="J4" s="4">
        <v>663</v>
      </c>
    </row>
    <row r="5" spans="1:10" x14ac:dyDescent="0.25">
      <c r="A5" s="10">
        <v>42739</v>
      </c>
      <c r="B5" t="s">
        <v>31</v>
      </c>
      <c r="C5">
        <v>105</v>
      </c>
      <c r="F5" s="2" t="s">
        <v>31</v>
      </c>
      <c r="G5" s="4">
        <v>207</v>
      </c>
      <c r="H5" s="4">
        <v>219</v>
      </c>
      <c r="I5" s="4">
        <v>231</v>
      </c>
      <c r="J5" s="4">
        <v>657</v>
      </c>
    </row>
    <row r="6" spans="1:10" x14ac:dyDescent="0.25">
      <c r="A6" s="10">
        <v>42740</v>
      </c>
      <c r="B6" t="s">
        <v>32</v>
      </c>
      <c r="C6">
        <v>106</v>
      </c>
      <c r="F6" s="2" t="s">
        <v>33</v>
      </c>
      <c r="G6" s="4">
        <v>104</v>
      </c>
      <c r="H6" s="4">
        <v>217</v>
      </c>
      <c r="I6" s="4">
        <v>229</v>
      </c>
      <c r="J6" s="4">
        <v>550</v>
      </c>
    </row>
    <row r="7" spans="1:10" x14ac:dyDescent="0.25">
      <c r="A7" s="10">
        <v>43101</v>
      </c>
      <c r="B7" t="s">
        <v>33</v>
      </c>
      <c r="C7">
        <v>107</v>
      </c>
      <c r="F7" s="2" t="s">
        <v>26</v>
      </c>
      <c r="G7" s="4">
        <v>520</v>
      </c>
      <c r="H7" s="4">
        <v>545</v>
      </c>
      <c r="I7" s="4">
        <v>805</v>
      </c>
      <c r="J7" s="4">
        <v>1870</v>
      </c>
    </row>
    <row r="8" spans="1:10" x14ac:dyDescent="0.25">
      <c r="A8" s="10">
        <v>43102</v>
      </c>
      <c r="B8" t="s">
        <v>31</v>
      </c>
      <c r="C8">
        <v>108</v>
      </c>
    </row>
    <row r="9" spans="1:10" x14ac:dyDescent="0.25">
      <c r="A9" s="10">
        <v>43103</v>
      </c>
      <c r="B9" t="s">
        <v>32</v>
      </c>
      <c r="C9">
        <v>109</v>
      </c>
    </row>
    <row r="10" spans="1:10" x14ac:dyDescent="0.25">
      <c r="A10" s="10">
        <v>43104</v>
      </c>
      <c r="B10" t="s">
        <v>33</v>
      </c>
      <c r="C10">
        <v>110</v>
      </c>
    </row>
    <row r="11" spans="1:10" x14ac:dyDescent="0.25">
      <c r="A11" s="10">
        <v>43105</v>
      </c>
      <c r="B11" t="s">
        <v>31</v>
      </c>
      <c r="C11">
        <v>111</v>
      </c>
    </row>
    <row r="12" spans="1:10" x14ac:dyDescent="0.25">
      <c r="A12" s="10">
        <v>43466</v>
      </c>
      <c r="B12" t="s">
        <v>32</v>
      </c>
      <c r="C12">
        <v>112</v>
      </c>
    </row>
    <row r="13" spans="1:10" x14ac:dyDescent="0.25">
      <c r="A13" s="10">
        <v>43467</v>
      </c>
      <c r="B13" t="s">
        <v>33</v>
      </c>
      <c r="C13">
        <v>113</v>
      </c>
    </row>
    <row r="14" spans="1:10" x14ac:dyDescent="0.25">
      <c r="A14" s="10">
        <v>43468</v>
      </c>
      <c r="B14" t="s">
        <v>31</v>
      </c>
      <c r="C14">
        <v>114</v>
      </c>
    </row>
    <row r="15" spans="1:10" x14ac:dyDescent="0.25">
      <c r="A15" s="10">
        <v>43469</v>
      </c>
      <c r="B15" t="s">
        <v>32</v>
      </c>
      <c r="C15">
        <v>115</v>
      </c>
    </row>
    <row r="16" spans="1:10" x14ac:dyDescent="0.25">
      <c r="A16" s="10">
        <v>43470</v>
      </c>
      <c r="B16" t="s">
        <v>33</v>
      </c>
      <c r="C16">
        <v>116</v>
      </c>
    </row>
    <row r="17" spans="1:3" x14ac:dyDescent="0.25">
      <c r="A17" s="10">
        <v>43471</v>
      </c>
      <c r="B17" t="s">
        <v>31</v>
      </c>
      <c r="C17">
        <v>117</v>
      </c>
    </row>
    <row r="18" spans="1:3" x14ac:dyDescent="0.25">
      <c r="A18" s="10">
        <v>43472</v>
      </c>
      <c r="B18" t="s">
        <v>32</v>
      </c>
      <c r="C18">
        <v>118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7"/>
  <sheetViews>
    <sheetView workbookViewId="0">
      <selection activeCell="F3" sqref="F3"/>
    </sheetView>
  </sheetViews>
  <sheetFormatPr defaultRowHeight="15" x14ac:dyDescent="0.25"/>
  <sheetData>
    <row r="1" spans="1:7" x14ac:dyDescent="0.25">
      <c r="A1" s="13" t="s">
        <v>49</v>
      </c>
      <c r="B1" s="13"/>
      <c r="C1" s="13"/>
      <c r="D1" s="13"/>
      <c r="E1" s="13"/>
      <c r="F1" s="13"/>
    </row>
    <row r="2" spans="1:7" x14ac:dyDescent="0.25">
      <c r="A2" s="11" t="s">
        <v>0</v>
      </c>
      <c r="B2" s="11" t="s">
        <v>41</v>
      </c>
      <c r="C2" s="11" t="s">
        <v>42</v>
      </c>
      <c r="D2" s="11" t="s">
        <v>43</v>
      </c>
      <c r="E2" s="11" t="s">
        <v>50</v>
      </c>
      <c r="F2" s="11" t="s">
        <v>51</v>
      </c>
    </row>
    <row r="3" spans="1:7" x14ac:dyDescent="0.25">
      <c r="A3" t="s">
        <v>44</v>
      </c>
      <c r="B3">
        <v>45</v>
      </c>
      <c r="C3">
        <v>56</v>
      </c>
      <c r="D3">
        <v>45</v>
      </c>
      <c r="E3">
        <f>SUM(B3:D3)</f>
        <v>146</v>
      </c>
      <c r="F3" t="str">
        <f>IF(COUNTIF(B3:D3,"&lt;33")=0,"Pass","fail")</f>
        <v>Pass</v>
      </c>
      <c r="G3">
        <f>COUNTIF(B3:D3,"&lt;33")</f>
        <v>0</v>
      </c>
    </row>
    <row r="4" spans="1:7" x14ac:dyDescent="0.25">
      <c r="A4" t="s">
        <v>45</v>
      </c>
      <c r="B4">
        <v>45</v>
      </c>
      <c r="C4">
        <v>67</v>
      </c>
      <c r="D4">
        <v>67</v>
      </c>
      <c r="E4">
        <f t="shared" ref="E4:E7" si="0">SUM(B4:D4)</f>
        <v>179</v>
      </c>
      <c r="F4" t="str">
        <f t="shared" ref="F4:F7" si="1">IF(COUNTIF(B4:D4,"&lt;33")=0,"Pass","fail")</f>
        <v>Pass</v>
      </c>
      <c r="G4">
        <f t="shared" ref="G4:G7" si="2">COUNTIF(B4:D4,"&lt;33")</f>
        <v>0</v>
      </c>
    </row>
    <row r="5" spans="1:7" x14ac:dyDescent="0.25">
      <c r="A5" t="s">
        <v>46</v>
      </c>
      <c r="B5">
        <v>45</v>
      </c>
      <c r="C5">
        <v>23</v>
      </c>
      <c r="D5">
        <v>76</v>
      </c>
      <c r="E5">
        <f t="shared" si="0"/>
        <v>144</v>
      </c>
      <c r="F5" t="str">
        <f t="shared" si="1"/>
        <v>fail</v>
      </c>
      <c r="G5">
        <f t="shared" si="2"/>
        <v>1</v>
      </c>
    </row>
    <row r="6" spans="1:7" x14ac:dyDescent="0.25">
      <c r="A6" t="s">
        <v>47</v>
      </c>
      <c r="B6">
        <v>23</v>
      </c>
      <c r="C6">
        <v>56</v>
      </c>
      <c r="D6">
        <v>87</v>
      </c>
      <c r="E6">
        <f t="shared" si="0"/>
        <v>166</v>
      </c>
      <c r="F6" t="str">
        <f t="shared" si="1"/>
        <v>fail</v>
      </c>
      <c r="G6">
        <f t="shared" si="2"/>
        <v>1</v>
      </c>
    </row>
    <row r="7" spans="1:7" x14ac:dyDescent="0.25">
      <c r="A7" t="s">
        <v>48</v>
      </c>
      <c r="B7">
        <v>56</v>
      </c>
      <c r="C7">
        <v>67</v>
      </c>
      <c r="D7">
        <v>78</v>
      </c>
      <c r="E7">
        <f t="shared" si="0"/>
        <v>201</v>
      </c>
      <c r="F7" t="str">
        <f t="shared" si="1"/>
        <v>Pass</v>
      </c>
      <c r="G7">
        <f t="shared" si="2"/>
        <v>0</v>
      </c>
    </row>
  </sheetData>
  <mergeCells count="1">
    <mergeCell ref="A1:F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7"/>
  <sheetViews>
    <sheetView workbookViewId="0">
      <selection sqref="A1:F1"/>
    </sheetView>
  </sheetViews>
  <sheetFormatPr defaultRowHeight="15" x14ac:dyDescent="0.25"/>
  <sheetData>
    <row r="1" spans="1:6" x14ac:dyDescent="0.25">
      <c r="A1" s="13" t="s">
        <v>49</v>
      </c>
      <c r="B1" s="13"/>
      <c r="C1" s="13"/>
      <c r="D1" s="13"/>
      <c r="E1" s="13"/>
      <c r="F1" s="13"/>
    </row>
    <row r="2" spans="1:6" x14ac:dyDescent="0.25">
      <c r="A2" s="11" t="s">
        <v>0</v>
      </c>
      <c r="B2" s="11" t="s">
        <v>41</v>
      </c>
      <c r="C2" s="11" t="s">
        <v>42</v>
      </c>
      <c r="D2" s="11" t="s">
        <v>43</v>
      </c>
      <c r="E2" s="11" t="s">
        <v>50</v>
      </c>
      <c r="F2" s="11" t="s">
        <v>51</v>
      </c>
    </row>
    <row r="3" spans="1:6" x14ac:dyDescent="0.25">
      <c r="A3" t="s">
        <v>44</v>
      </c>
      <c r="B3">
        <v>45</v>
      </c>
      <c r="C3">
        <v>56</v>
      </c>
      <c r="D3">
        <v>45</v>
      </c>
      <c r="E3">
        <f>SUM(B3:D3)</f>
        <v>146</v>
      </c>
      <c r="F3" t="str">
        <f>IF(COUNTIF(B3:D3,"&lt;33")=0,"Pass","fail")</f>
        <v>Pass</v>
      </c>
    </row>
    <row r="4" spans="1:6" x14ac:dyDescent="0.25">
      <c r="A4" t="s">
        <v>45</v>
      </c>
      <c r="B4">
        <v>45</v>
      </c>
      <c r="C4">
        <v>67</v>
      </c>
      <c r="D4">
        <v>67</v>
      </c>
      <c r="E4">
        <f t="shared" ref="E4:E7" si="0">SUM(B4:D4)</f>
        <v>179</v>
      </c>
      <c r="F4" t="str">
        <f t="shared" ref="F4:F7" si="1">IF(COUNTIF(B4:D4,"&lt;33")=0,"Pass","fail")</f>
        <v>Pass</v>
      </c>
    </row>
    <row r="5" spans="1:6" x14ac:dyDescent="0.25">
      <c r="A5" t="s">
        <v>46</v>
      </c>
      <c r="B5">
        <v>45</v>
      </c>
      <c r="C5">
        <v>23</v>
      </c>
      <c r="D5">
        <v>76</v>
      </c>
      <c r="E5">
        <f t="shared" si="0"/>
        <v>144</v>
      </c>
      <c r="F5" t="str">
        <f t="shared" si="1"/>
        <v>fail</v>
      </c>
    </row>
    <row r="6" spans="1:6" x14ac:dyDescent="0.25">
      <c r="A6" t="s">
        <v>47</v>
      </c>
      <c r="B6">
        <v>23</v>
      </c>
      <c r="C6">
        <v>56</v>
      </c>
      <c r="D6">
        <v>87</v>
      </c>
      <c r="E6">
        <f t="shared" si="0"/>
        <v>166</v>
      </c>
      <c r="F6" t="str">
        <f t="shared" si="1"/>
        <v>fail</v>
      </c>
    </row>
    <row r="7" spans="1:6" x14ac:dyDescent="0.25">
      <c r="A7" t="s">
        <v>48</v>
      </c>
      <c r="B7">
        <v>56</v>
      </c>
      <c r="C7">
        <v>67</v>
      </c>
      <c r="D7">
        <v>78</v>
      </c>
      <c r="E7">
        <f t="shared" si="0"/>
        <v>201</v>
      </c>
      <c r="F7" t="str">
        <f t="shared" si="1"/>
        <v>Pass</v>
      </c>
    </row>
  </sheetData>
  <mergeCells count="1">
    <mergeCell ref="A1:F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7"/>
  <sheetViews>
    <sheetView workbookViewId="0">
      <selection sqref="A1:F1"/>
    </sheetView>
  </sheetViews>
  <sheetFormatPr defaultRowHeight="15" x14ac:dyDescent="0.25"/>
  <sheetData>
    <row r="1" spans="1:6" x14ac:dyDescent="0.25">
      <c r="A1" s="13" t="s">
        <v>49</v>
      </c>
      <c r="B1" s="13"/>
      <c r="C1" s="13"/>
      <c r="D1" s="13"/>
      <c r="E1" s="13"/>
      <c r="F1" s="13"/>
    </row>
    <row r="2" spans="1:6" x14ac:dyDescent="0.25">
      <c r="A2" s="11" t="s">
        <v>0</v>
      </c>
      <c r="B2" s="11" t="s">
        <v>41</v>
      </c>
      <c r="C2" s="11" t="s">
        <v>42</v>
      </c>
      <c r="D2" s="11" t="s">
        <v>43</v>
      </c>
      <c r="E2" s="11" t="s">
        <v>50</v>
      </c>
      <c r="F2" s="11" t="s">
        <v>51</v>
      </c>
    </row>
    <row r="3" spans="1:6" x14ac:dyDescent="0.25">
      <c r="A3" t="s">
        <v>44</v>
      </c>
      <c r="B3">
        <v>45</v>
      </c>
      <c r="C3">
        <v>56</v>
      </c>
      <c r="D3">
        <v>45</v>
      </c>
      <c r="E3">
        <f>SUM(B3:D3)</f>
        <v>146</v>
      </c>
      <c r="F3" t="str">
        <f>IF(COUNTIF(B3:D3,"&lt;33")=0,"Pass","fail")</f>
        <v>Pass</v>
      </c>
    </row>
    <row r="4" spans="1:6" x14ac:dyDescent="0.25">
      <c r="A4" t="s">
        <v>45</v>
      </c>
      <c r="B4">
        <v>45</v>
      </c>
      <c r="C4">
        <v>67</v>
      </c>
      <c r="D4">
        <v>67</v>
      </c>
      <c r="E4">
        <f t="shared" ref="E4:E7" si="0">SUM(B4:D4)</f>
        <v>179</v>
      </c>
      <c r="F4" t="str">
        <f t="shared" ref="F4:F7" si="1">IF(COUNTIF(B4:D4,"&lt;33")=0,"Pass","fail")</f>
        <v>Pass</v>
      </c>
    </row>
    <row r="5" spans="1:6" x14ac:dyDescent="0.25">
      <c r="A5" t="s">
        <v>46</v>
      </c>
      <c r="B5">
        <v>45</v>
      </c>
      <c r="C5">
        <v>23</v>
      </c>
      <c r="D5">
        <v>76</v>
      </c>
      <c r="E5">
        <f t="shared" si="0"/>
        <v>144</v>
      </c>
      <c r="F5" t="str">
        <f t="shared" si="1"/>
        <v>fail</v>
      </c>
    </row>
    <row r="6" spans="1:6" x14ac:dyDescent="0.25">
      <c r="A6" t="s">
        <v>47</v>
      </c>
      <c r="B6">
        <v>23</v>
      </c>
      <c r="C6">
        <v>56</v>
      </c>
      <c r="D6">
        <v>87</v>
      </c>
      <c r="E6">
        <f t="shared" si="0"/>
        <v>166</v>
      </c>
      <c r="F6" t="str">
        <f t="shared" si="1"/>
        <v>fail</v>
      </c>
    </row>
    <row r="7" spans="1:6" x14ac:dyDescent="0.25">
      <c r="A7" t="s">
        <v>48</v>
      </c>
      <c r="B7">
        <v>56</v>
      </c>
      <c r="C7">
        <v>67</v>
      </c>
      <c r="D7">
        <v>78</v>
      </c>
      <c r="E7">
        <f t="shared" si="0"/>
        <v>201</v>
      </c>
      <c r="F7" t="str">
        <f t="shared" si="1"/>
        <v>Pass</v>
      </c>
    </row>
  </sheetData>
  <mergeCells count="1">
    <mergeCell ref="A1:F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workbookViewId="0">
      <selection sqref="A1:F1"/>
    </sheetView>
  </sheetViews>
  <sheetFormatPr defaultRowHeight="15" x14ac:dyDescent="0.25"/>
  <sheetData>
    <row r="1" spans="1:10" x14ac:dyDescent="0.25">
      <c r="A1" s="13" t="s">
        <v>49</v>
      </c>
      <c r="B1" s="13"/>
      <c r="C1" s="13"/>
      <c r="D1" s="13"/>
      <c r="E1" s="13"/>
      <c r="F1" s="13"/>
    </row>
    <row r="2" spans="1:10" x14ac:dyDescent="0.25">
      <c r="A2" s="11"/>
      <c r="B2" s="11"/>
      <c r="C2" s="11"/>
      <c r="D2" s="11"/>
      <c r="E2" s="11" t="s">
        <v>50</v>
      </c>
      <c r="F2" s="11" t="s">
        <v>51</v>
      </c>
    </row>
    <row r="3" spans="1:10" x14ac:dyDescent="0.25">
      <c r="E3">
        <f>SUM(B3:D3)</f>
        <v>0</v>
      </c>
      <c r="F3" t="str">
        <f>IF(COUNTIF(B3:D3,"&lt;33")=0,"Pass","fail")</f>
        <v>Pass</v>
      </c>
    </row>
    <row r="4" spans="1:10" x14ac:dyDescent="0.25">
      <c r="E4">
        <f t="shared" ref="E4:E7" si="0">SUM(B4:D4)</f>
        <v>0</v>
      </c>
      <c r="F4" t="str">
        <f t="shared" ref="F4:F7" si="1">IF(COUNTIF(B4:D4,"&lt;33")=0,"Pass","fail")</f>
        <v>Pass</v>
      </c>
    </row>
    <row r="5" spans="1:10" x14ac:dyDescent="0.25">
      <c r="E5">
        <f t="shared" si="0"/>
        <v>0</v>
      </c>
      <c r="F5" t="str">
        <f t="shared" si="1"/>
        <v>Pass</v>
      </c>
    </row>
    <row r="6" spans="1:10" x14ac:dyDescent="0.25">
      <c r="E6">
        <f t="shared" si="0"/>
        <v>0</v>
      </c>
      <c r="F6" t="str">
        <f t="shared" si="1"/>
        <v>Pass</v>
      </c>
      <c r="G6" t="s">
        <v>0</v>
      </c>
      <c r="H6" t="s">
        <v>41</v>
      </c>
      <c r="I6" t="s">
        <v>42</v>
      </c>
      <c r="J6" t="s">
        <v>43</v>
      </c>
    </row>
    <row r="7" spans="1:10" x14ac:dyDescent="0.25">
      <c r="E7">
        <f t="shared" si="0"/>
        <v>0</v>
      </c>
      <c r="F7" t="str">
        <f t="shared" si="1"/>
        <v>Pass</v>
      </c>
      <c r="G7" t="s">
        <v>44</v>
      </c>
      <c r="H7">
        <v>45</v>
      </c>
      <c r="I7">
        <v>56</v>
      </c>
      <c r="J7">
        <v>45</v>
      </c>
    </row>
    <row r="8" spans="1:10" x14ac:dyDescent="0.25">
      <c r="G8" t="s">
        <v>45</v>
      </c>
      <c r="H8">
        <v>45</v>
      </c>
      <c r="I8">
        <v>67</v>
      </c>
      <c r="J8">
        <v>67</v>
      </c>
    </row>
    <row r="9" spans="1:10" x14ac:dyDescent="0.25">
      <c r="G9" t="s">
        <v>46</v>
      </c>
      <c r="H9">
        <v>45</v>
      </c>
      <c r="I9">
        <v>23</v>
      </c>
      <c r="J9">
        <v>76</v>
      </c>
    </row>
    <row r="10" spans="1:10" x14ac:dyDescent="0.25">
      <c r="G10" t="s">
        <v>47</v>
      </c>
      <c r="H10">
        <v>23</v>
      </c>
      <c r="I10">
        <v>56</v>
      </c>
      <c r="J10">
        <v>87</v>
      </c>
    </row>
    <row r="11" spans="1:10" x14ac:dyDescent="0.25">
      <c r="G11" t="s">
        <v>48</v>
      </c>
      <c r="H11">
        <v>56</v>
      </c>
      <c r="I11">
        <v>67</v>
      </c>
      <c r="J11">
        <v>78</v>
      </c>
    </row>
  </sheetData>
  <mergeCells count="1">
    <mergeCell ref="A1:F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8"/>
  <sheetViews>
    <sheetView workbookViewId="0">
      <selection activeCell="G11" sqref="G11"/>
    </sheetView>
  </sheetViews>
  <sheetFormatPr defaultRowHeight="15" x14ac:dyDescent="0.25"/>
  <cols>
    <col min="5" max="5" width="9.140625" customWidth="1"/>
    <col min="7" max="7" width="14" customWidth="1"/>
  </cols>
  <sheetData>
    <row r="2" spans="1:7" x14ac:dyDescent="0.25">
      <c r="A2" t="s">
        <v>52</v>
      </c>
      <c r="B2" t="s">
        <v>53</v>
      </c>
      <c r="C2" t="s">
        <v>54</v>
      </c>
      <c r="D2" t="s">
        <v>55</v>
      </c>
    </row>
    <row r="3" spans="1:7" x14ac:dyDescent="0.25">
      <c r="A3">
        <v>1</v>
      </c>
      <c r="B3">
        <v>1000</v>
      </c>
      <c r="C3">
        <v>3000</v>
      </c>
      <c r="D3">
        <v>34543</v>
      </c>
      <c r="G3" s="12" t="s">
        <v>56</v>
      </c>
    </row>
    <row r="4" spans="1:7" x14ac:dyDescent="0.25">
      <c r="A4">
        <v>2</v>
      </c>
      <c r="B4">
        <v>10000</v>
      </c>
      <c r="C4">
        <v>1212323</v>
      </c>
      <c r="D4">
        <v>41242134</v>
      </c>
    </row>
    <row r="5" spans="1:7" x14ac:dyDescent="0.25">
      <c r="A5">
        <v>3</v>
      </c>
      <c r="B5">
        <v>123412</v>
      </c>
      <c r="C5">
        <v>123412</v>
      </c>
      <c r="D5">
        <v>12412</v>
      </c>
    </row>
    <row r="6" spans="1:7" x14ac:dyDescent="0.25">
      <c r="A6">
        <v>4</v>
      </c>
      <c r="B6">
        <v>1234124</v>
      </c>
      <c r="C6">
        <v>32434</v>
      </c>
      <c r="D6">
        <v>34543</v>
      </c>
    </row>
    <row r="7" spans="1:7" x14ac:dyDescent="0.25">
      <c r="A7">
        <v>5</v>
      </c>
      <c r="B7">
        <v>235345</v>
      </c>
      <c r="C7">
        <v>4543</v>
      </c>
      <c r="D7">
        <v>34543</v>
      </c>
    </row>
    <row r="8" spans="1:7" x14ac:dyDescent="0.25">
      <c r="A8">
        <v>6</v>
      </c>
      <c r="B8">
        <v>34534</v>
      </c>
      <c r="C8">
        <v>34534</v>
      </c>
      <c r="D8">
        <v>32344534</v>
      </c>
    </row>
  </sheetData>
  <hyperlinks>
    <hyperlink ref="G3" r:id="rId1"/>
  </hyperlinks>
  <pageMargins left="0.7" right="0.7" top="0.75" bottom="0.75" header="0.3" footer="0.3"/>
  <drawing r:id="rId2"/>
  <extLst>
    <ext xmlns:x14="http://schemas.microsoft.com/office/spreadsheetml/2009/9/main" uri="{05C60535-1F16-4fd2-B633-F4F36F0B64E0}">
      <x14:sparklineGroups xmlns:xm="http://schemas.microsoft.com/office/excel/2006/main">
        <x14:sparklineGroup type="column" displayEmptyCellsAs="gap" high="1" low="1">
          <x14:colorSeries rgb="FF376092"/>
          <x14:colorNegative rgb="FFD00000"/>
          <x14:colorAxis rgb="FF000000"/>
          <x14:colorMarkers rgb="FFD00000"/>
          <x14:colorFirst rgb="FFD00000"/>
          <x14:colorLast rgb="FFD00000"/>
          <x14:colorHigh theme="9"/>
          <x14:colorLow rgb="FFFF0000"/>
          <x14:sparklines>
            <x14:sparkline>
              <xm:f>Sheet9!B3:D3</xm:f>
              <xm:sqref>E3</xm:sqref>
            </x14:sparkline>
            <x14:sparkline>
              <xm:f>Sheet9!B4:D4</xm:f>
              <xm:sqref>E4</xm:sqref>
            </x14:sparkline>
            <x14:sparkline>
              <xm:f>Sheet9!B5:D5</xm:f>
              <xm:sqref>E5</xm:sqref>
            </x14:sparkline>
            <x14:sparkline>
              <xm:f>Sheet9!B6:D6</xm:f>
              <xm:sqref>E6</xm:sqref>
            </x14:sparkline>
            <x14:sparkline>
              <xm:f>Sheet9!B7:D7</xm:f>
              <xm:sqref>E7</xm:sqref>
            </x14:sparkline>
            <x14:sparkline>
              <xm:f>Sheet9!B8:D8</xm:f>
              <xm:sqref>E8</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2"/>
  <sheetViews>
    <sheetView tabSelected="1" topLeftCell="A29" workbookViewId="0">
      <selection activeCell="C43" sqref="C43"/>
    </sheetView>
  </sheetViews>
  <sheetFormatPr defaultRowHeight="15" x14ac:dyDescent="0.25"/>
  <cols>
    <col min="1" max="1" width="26.140625" bestFit="1" customWidth="1"/>
    <col min="2" max="2" width="18.85546875" bestFit="1" customWidth="1"/>
    <col min="3" max="3" width="17.5703125" bestFit="1" customWidth="1"/>
    <col min="4" max="4" width="34.85546875" customWidth="1"/>
  </cols>
  <sheetData>
    <row r="1" spans="1:4" x14ac:dyDescent="0.25">
      <c r="A1" t="s">
        <v>60</v>
      </c>
      <c r="B1" t="s">
        <v>61</v>
      </c>
    </row>
    <row r="3" spans="1:4" x14ac:dyDescent="0.25">
      <c r="A3" t="s">
        <v>62</v>
      </c>
    </row>
    <row r="4" spans="1:4" x14ac:dyDescent="0.25">
      <c r="A4" t="s">
        <v>63</v>
      </c>
    </row>
    <row r="7" spans="1:4" x14ac:dyDescent="0.25">
      <c r="A7" t="s">
        <v>64</v>
      </c>
    </row>
    <row r="8" spans="1:4" x14ac:dyDescent="0.25">
      <c r="A8" t="s">
        <v>65</v>
      </c>
      <c r="C8" t="s">
        <v>66</v>
      </c>
      <c r="D8" t="s">
        <v>67</v>
      </c>
    </row>
    <row r="9" spans="1:4" x14ac:dyDescent="0.25">
      <c r="A9" t="s">
        <v>69</v>
      </c>
    </row>
    <row r="10" spans="1:4" x14ac:dyDescent="0.25">
      <c r="C10" t="s">
        <v>68</v>
      </c>
      <c r="D10">
        <f>LEN(A8)</f>
        <v>18</v>
      </c>
    </row>
    <row r="11" spans="1:4" x14ac:dyDescent="0.25">
      <c r="C11" t="s">
        <v>73</v>
      </c>
      <c r="D11">
        <f>LEN(A9)</f>
        <v>33</v>
      </c>
    </row>
    <row r="12" spans="1:4" x14ac:dyDescent="0.25">
      <c r="C12" t="s">
        <v>70</v>
      </c>
      <c r="D12" t="str">
        <f>TRIM(A9)</f>
        <v>deepanshi sekhawat</v>
      </c>
    </row>
    <row r="13" spans="1:4" x14ac:dyDescent="0.25">
      <c r="C13" t="s">
        <v>72</v>
      </c>
      <c r="D13">
        <f>LEN(D12)</f>
        <v>18</v>
      </c>
    </row>
    <row r="15" spans="1:4" x14ac:dyDescent="0.25">
      <c r="C15" t="s">
        <v>71</v>
      </c>
      <c r="D15">
        <f>LEN(TRIM(A9))</f>
        <v>18</v>
      </c>
    </row>
    <row r="16" spans="1:4" x14ac:dyDescent="0.25">
      <c r="C16" t="s">
        <v>74</v>
      </c>
      <c r="D16" t="str">
        <f>PROPER(A8)</f>
        <v>Deepanshi Sekhawat</v>
      </c>
    </row>
    <row r="17" spans="3:4" x14ac:dyDescent="0.25">
      <c r="C17" t="s">
        <v>75</v>
      </c>
      <c r="D17" t="str">
        <f>PROPER(A9)</f>
        <v xml:space="preserve">      Deepanshi          Sekhawat</v>
      </c>
    </row>
    <row r="18" spans="3:4" x14ac:dyDescent="0.25">
      <c r="C18" t="s">
        <v>76</v>
      </c>
      <c r="D18" t="str">
        <f>PROPER(TRIM(A9))</f>
        <v>Deepanshi Sekhawat</v>
      </c>
    </row>
    <row r="19" spans="3:4" x14ac:dyDescent="0.25">
      <c r="C19" t="s">
        <v>77</v>
      </c>
      <c r="D19" t="str">
        <f>UPPER(A8)</f>
        <v>DEEPANSHI SEKHAWAT</v>
      </c>
    </row>
    <row r="20" spans="3:4" x14ac:dyDescent="0.25">
      <c r="C20" t="s">
        <v>78</v>
      </c>
      <c r="D20" t="str">
        <f>LOWER(D19)</f>
        <v>deepanshi sekhawat</v>
      </c>
    </row>
    <row r="21" spans="3:4" x14ac:dyDescent="0.25">
      <c r="C21" t="s">
        <v>79</v>
      </c>
      <c r="D21" t="str">
        <f>LEFT(D20,4)</f>
        <v>deep</v>
      </c>
    </row>
    <row r="22" spans="3:4" x14ac:dyDescent="0.25">
      <c r="D22" t="str">
        <f>PROPER(LEFT(D20,4))</f>
        <v>Deep</v>
      </c>
    </row>
    <row r="23" spans="3:4" x14ac:dyDescent="0.25">
      <c r="C23" t="s">
        <v>80</v>
      </c>
      <c r="D23" t="str">
        <f>RIGHT(D19,3)</f>
        <v>WAT</v>
      </c>
    </row>
    <row r="25" spans="3:4" x14ac:dyDescent="0.25">
      <c r="C25" t="s">
        <v>81</v>
      </c>
      <c r="D25" t="str">
        <f>MID(D20,5,5)</f>
        <v>anshi</v>
      </c>
    </row>
    <row r="27" spans="3:4" x14ac:dyDescent="0.25">
      <c r="C27" t="s">
        <v>82</v>
      </c>
      <c r="D27">
        <f>FIND("e",D20,1)</f>
        <v>2</v>
      </c>
    </row>
    <row r="28" spans="3:4" x14ac:dyDescent="0.25">
      <c r="C28" t="s">
        <v>83</v>
      </c>
      <c r="D28" t="str">
        <f>REPLACE(D20,2,2,"I")</f>
        <v>dIpanshi sekhawat</v>
      </c>
    </row>
    <row r="30" spans="3:4" x14ac:dyDescent="0.25">
      <c r="C30" t="s">
        <v>84</v>
      </c>
      <c r="D30" t="str">
        <f>REPT(D25,5)</f>
        <v>anshianshianshianshianshi</v>
      </c>
    </row>
    <row r="31" spans="3:4" x14ac:dyDescent="0.25">
      <c r="C31" t="s">
        <v>85</v>
      </c>
      <c r="D31" t="str">
        <f>CONCATENATE("Er.",D20)</f>
        <v>Er.deepanshi sekhawat</v>
      </c>
    </row>
    <row r="32" spans="3:4" x14ac:dyDescent="0.25">
      <c r="D32" t="str">
        <f>CONCATENATE("Er."," ",D21)</f>
        <v>Er. deep</v>
      </c>
    </row>
    <row r="33" spans="1:4" x14ac:dyDescent="0.25">
      <c r="C33" t="s">
        <v>86</v>
      </c>
      <c r="D33" t="str">
        <f>"Er." &amp; " " &amp;D20</f>
        <v>Er. deepanshi sekhawat</v>
      </c>
    </row>
    <row r="37" spans="1:4" x14ac:dyDescent="0.25">
      <c r="B37" t="s">
        <v>87</v>
      </c>
      <c r="C37" t="s">
        <v>88</v>
      </c>
    </row>
    <row r="38" spans="1:4" x14ac:dyDescent="0.25">
      <c r="A38" t="s">
        <v>65</v>
      </c>
      <c r="B38" t="s">
        <v>89</v>
      </c>
      <c r="C38" t="s">
        <v>90</v>
      </c>
    </row>
    <row r="40" spans="1:4" x14ac:dyDescent="0.25">
      <c r="C40" t="s">
        <v>87</v>
      </c>
      <c r="D40" t="s">
        <v>88</v>
      </c>
    </row>
    <row r="41" spans="1:4" x14ac:dyDescent="0.25">
      <c r="B41" t="s">
        <v>65</v>
      </c>
      <c r="C41" t="str">
        <f>LEFT(B41,FIND(" ",B41))</f>
        <v xml:space="preserve">deepanshi </v>
      </c>
      <c r="D41" t="str">
        <f>RIGHT(B41,LEN(B41)-FIND(" ",B41))</f>
        <v>sekhawat</v>
      </c>
    </row>
    <row r="42" spans="1:4" x14ac:dyDescent="0.25">
      <c r="B42" t="s">
        <v>91</v>
      </c>
      <c r="C42" t="str">
        <f>LEFT(B42,FIND(" ",B42))</f>
        <v xml:space="preserve">ram </v>
      </c>
      <c r="D42" t="str">
        <f>RIGHT(B42,LEN(B42)-FIND(" ",B42))</f>
        <v>kumar</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Sheet1</vt:lpstr>
      <vt:lpstr>Sheet2</vt:lpstr>
      <vt:lpstr>Dep-DashBoard</vt:lpstr>
      <vt:lpstr>Sheet4</vt:lpstr>
      <vt:lpstr>Sheet5</vt:lpstr>
      <vt:lpstr>Sheet6</vt:lpstr>
      <vt:lpstr>Sheet7</vt:lpstr>
      <vt:lpstr>Sheet8</vt:lpstr>
      <vt:lpstr>Sheet9</vt:lpstr>
      <vt:lpstr>TextFunction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2020-01-28T05:43:39Z</dcterms:created>
  <dcterms:modified xsi:type="dcterms:W3CDTF">2020-03-05T06:15:53Z</dcterms:modified>
</cp:coreProperties>
</file>